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genda" sheetId="1" state="visible" r:id="rId1"/>
    <sheet name="Ilustrações" sheetId="2" state="visible" r:id="rId2"/>
    <sheet name="Resumo" sheetId="3" state="visible" r:id="rId3"/>
  </sheets>
  <definedNames>
    <definedName name="_xlnm._FilterDatabase" localSheetId="1" hidden="1">'Ilustrações'!$A$1:$K$72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color rgb="00666666"/>
    </font>
    <font>
      <name val="Arial"/>
      <b val="1"/>
    </font>
    <font>
      <name val="Arial"/>
    </font>
    <font>
      <name val="Arial"/>
      <b val="1"/>
      <color rgb="00C00000"/>
    </font>
  </fonts>
  <fills count="9">
    <fill>
      <patternFill/>
    </fill>
    <fill>
      <patternFill patternType="gray125"/>
    </fill>
    <fill>
      <patternFill patternType="solid">
        <fgColor rgb="002B2233"/>
      </patternFill>
    </fill>
    <fill>
      <patternFill patternType="solid">
        <fgColor rgb="00FFF6C8"/>
      </patternFill>
    </fill>
    <fill>
      <patternFill patternType="solid">
        <fgColor rgb="00F4C7C3"/>
      </patternFill>
    </fill>
    <fill>
      <patternFill patternType="solid">
        <fgColor rgb="00E0E0E0"/>
      </patternFill>
    </fill>
    <fill>
      <patternFill patternType="solid">
        <fgColor rgb="00FCE5CD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9" fontId="6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4C7C3"/>
        </patternFill>
      </fill>
    </dxf>
    <dxf>
      <fill>
        <patternFill patternType="solid">
          <fgColor rgb="00E0E0E0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B6D7A8"/>
        </patternFill>
      </fill>
    </dxf>
    <dxf>
      <fill>
        <patternFill patternType="solid">
          <fgColor rgb="00FFE599"/>
        </patternFill>
      </fill>
    </dxf>
    <dxf>
      <fill>
        <patternFill patternType="solid">
          <fgColor rgb="00C9D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Regra</t>
        </is>
      </c>
      <c r="B1" s="2" t="inlineStr">
        <is>
          <t>Tudo que aparece no jogo tem que ser ilustração 100% humana. Ilustração de IA NÃO conta como pronta: está listada como 'Ilustração de IA — refazer'.</t>
        </is>
      </c>
    </row>
    <row r="2">
      <c r="A2" s="3" t="inlineStr">
        <is>
          <t>Como usar</t>
        </is>
      </c>
      <c r="B2" s="2" t="inlineStr">
        <is>
          <t>Na aba Ilustrações, a equipe preenche só as colunas amarelas: Responsável, Status (lista: A fazer / Em andamento / Em revisão / Pronto) e Observações. A aba Resumo conta sozinha.</t>
        </is>
      </c>
    </row>
    <row r="3">
      <c r="A3" s="3" t="inlineStr">
        <is>
          <t>Prioridade</t>
        </is>
      </c>
      <c r="B3" s="2" t="inlineStr">
        <is>
          <t>'1 – Demo (Arco 1)' = precisa para a demo do Arco 1. '2 – Arco 2' e '3 – Arco 3 / final' = arcos seguintes (seguem o GDD v0.03).</t>
        </is>
      </c>
    </row>
    <row r="4">
      <c r="A4" s="3" t="inlineStr">
        <is>
          <t>Situação atual</t>
        </is>
      </c>
      <c r="B4" s="2" t="inlineStr"/>
    </row>
    <row r="5">
      <c r="A5" s="4" t="inlineStr">
        <is>
          <t>Ilustração de IA — refazer</t>
        </is>
      </c>
      <c r="B5" s="2" t="inlineStr">
        <is>
          <t>Hoje o jogo usa um sprite gerado por IA (Assets/Sprites/Criaturas: Inspetora.png, Diretor.png, Amelie_sombra.png). Precisa ser redesenhado.</t>
        </is>
      </c>
    </row>
    <row r="6">
      <c r="A6" s="5" t="inlineStr">
        <is>
          <t>Bloco provisório (cinza)</t>
        </is>
      </c>
      <c r="B6" s="2" t="inlineStr">
        <is>
          <t>Cena ou objeto montado com caixas cinzas/coloridas no código, esperando arte.</t>
        </is>
      </c>
    </row>
    <row r="7">
      <c r="A7" s="6" t="inlineStr">
        <is>
          <t>Placeholder de cor</t>
        </is>
      </c>
      <c r="B7" s="2" t="inlineStr">
        <is>
          <t>Animação ou efeito com um desenho provisório (ex.: Luma tingida de uma cor) só para testar.</t>
        </is>
      </c>
    </row>
    <row r="8">
      <c r="A8" s="7" t="inlineStr">
        <is>
          <t>Sem ilustração</t>
        </is>
      </c>
      <c r="B8" s="2" t="inlineStr">
        <is>
          <t>Ainda não existe nenhum desenho (o jogo mostra só texto, brilho ou nada), ou é item previsto no GDD.</t>
        </is>
      </c>
    </row>
    <row r="9">
      <c r="A9" s="8" t="inlineStr">
        <is>
          <t>Arte humana parcial</t>
        </is>
      </c>
      <c r="B9" s="2" t="inlineStr">
        <is>
          <t>Já existe arte humana, mas falta uma pose/variação, ou ela precisa ser conferida.</t>
        </is>
      </c>
    </row>
    <row r="10">
      <c r="A10" s="3" t="inlineStr"/>
      <c r="B10" s="2" t="inlineStr"/>
    </row>
    <row r="11">
      <c r="A11" s="3" t="inlineStr">
        <is>
          <t>Já é arte humana (não entra na lista)</t>
        </is>
      </c>
      <c r="B11" s="2" t="inlineStr">
        <is>
          <t>Cenários: quarto.psd (Dormitório 1 e fundo do menu), corredor.psd (Corredor 1 e Pesadelo), banheiro.psd, quarto 2.psd (Dormitório 2), corredor 2.psd (térreo), 3° andar.psd. Luma.psb com os 9 quadros do Idle de frente. Textura do chão (floor-material).</t>
        </is>
      </c>
    </row>
    <row r="12">
      <c r="A12" s="3" t="inlineStr">
        <is>
          <t>Levantado em</t>
        </is>
      </c>
      <c r="B12" s="2" t="inlineStr">
        <is>
          <t>28/09/2026, a partir do projeto Unity (Assets/Sprites, cenas e scripts de montagem) e do GDD v0.03.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32" customWidth="1" min="4" max="4"/>
    <col width="24" customWidth="1" min="5" max="5"/>
    <col width="52" customWidth="1" min="6" max="6"/>
    <col width="38" customWidth="1" min="7" max="7"/>
    <col width="17" customWidth="1" min="8" max="8"/>
    <col width="16" customWidth="1" min="9" max="9"/>
    <col width="14" customWidth="1" min="10" max="10"/>
    <col width="46" customWidth="1" min="11" max="11"/>
  </cols>
  <sheetData>
    <row r="1" ht="30" customHeight="1">
      <c r="A1" s="9" t="inlineStr">
        <is>
          <t>ID</t>
        </is>
      </c>
      <c r="B1" s="9" t="inlineStr">
        <is>
          <t>Categoria</t>
        </is>
      </c>
      <c r="C1" s="9" t="inlineStr">
        <is>
          <t>Item</t>
        </is>
      </c>
      <c r="D1" s="9" t="inlineStr">
        <is>
          <t>Onde aparece</t>
        </is>
      </c>
      <c r="E1" s="9" t="inlineStr">
        <is>
          <t>Situação atual</t>
        </is>
      </c>
      <c r="F1" s="9" t="inlineStr">
        <is>
          <t>O que desenhar</t>
        </is>
      </c>
      <c r="G1" s="9" t="inlineStr">
        <is>
          <t>Formato de entrega</t>
        </is>
      </c>
      <c r="H1" s="9" t="inlineStr">
        <is>
          <t>Prioridade</t>
        </is>
      </c>
      <c r="I1" s="9" t="inlineStr">
        <is>
          <t>Responsável</t>
        </is>
      </c>
      <c r="J1" s="9" t="inlineStr">
        <is>
          <t>Status</t>
        </is>
      </c>
      <c r="K1" s="9" t="inlineStr">
        <is>
          <t>Observações</t>
        </is>
      </c>
    </row>
    <row r="2">
      <c r="A2" s="10" t="inlineStr">
        <is>
          <t>CR01</t>
        </is>
      </c>
      <c r="B2" s="10" t="inlineStr">
        <is>
          <t>Criaturas</t>
        </is>
      </c>
      <c r="C2" s="10" t="inlineStr">
        <is>
          <t>Inspetora — forma verdadeira (andando)</t>
        </is>
      </c>
      <c r="D2" s="10" t="inlineStr">
        <is>
          <t>03_Banheiro (encontro), 06_Dormitorio2, ronda do 2º andar (Corredor 1, Banheiro, Dormitório 2)</t>
        </is>
      </c>
      <c r="E2" s="10" t="inlineStr">
        <is>
          <t>Ilustração de IA — refazer</t>
        </is>
      </c>
      <c r="F2" s="10" t="inlineStr">
        <is>
          <t>Massa escura de galhos e cabelos, ~2,3 m em cena. Poses: parada, andando, perseguindo, farejando (parada, cabeça baixa), agarrando a Luma (captura).</t>
        </is>
      </c>
      <c r="G2" s="10" t="inlineStr">
        <is>
          <t>PSD/PSB em camadas (partes separadas para animar) ou PNG por quadro; fundo transparente; ~1400 px de altura</t>
        </is>
      </c>
      <c r="H2" s="10" t="inlineStr">
        <is>
          <t>1 – Demo (Arco 1)</t>
        </is>
      </c>
      <c r="I2" s="11" t="inlineStr"/>
      <c r="J2" s="11" t="inlineStr">
        <is>
          <t>A fazer</t>
        </is>
      </c>
      <c r="K2" s="11" t="inlineStr">
        <is>
          <t>Hoje é Assets/Sprites/Criaturas/Inspetora.png (IA). A sombra na parede da ronda usa este mesmo desenho escurecido.</t>
        </is>
      </c>
    </row>
    <row r="3">
      <c r="A3" s="10" t="inlineStr">
        <is>
          <t>CR02</t>
        </is>
      </c>
      <c r="B3" s="10" t="inlineStr">
        <is>
          <t>Criaturas</t>
        </is>
      </c>
      <c r="C3" s="10" t="inlineStr">
        <is>
          <t>Inspetora — massa que persegue (galhos em camadas)</t>
        </is>
      </c>
      <c r="D3" s="10" t="inlineStr">
        <is>
          <t>02_Corredor1 (fuga), 09_LazyRoom (ninho)</t>
        </is>
      </c>
      <c r="E3" s="10" t="inlineStr">
        <is>
          <t>Ilustração de IA — refazer</t>
        </is>
      </c>
      <c r="F3" s="10" t="inlineStr">
        <is>
          <t>A massa inteira ocupando o corredor, em 3 camadas soltas (frente, meio, fundo) para ondular. Borda da frente bem definida (é onde ela 'pega').</t>
        </is>
      </c>
      <c r="G3" s="10" t="inlineStr">
        <is>
          <t>PSD com 3 camadas separadas; ~3,6 m de altura em cena</t>
        </is>
      </c>
      <c r="H3" s="10" t="inlineStr">
        <is>
          <t>1 – Demo (Arco 1)</t>
        </is>
      </c>
      <c r="I3" s="11" t="inlineStr"/>
      <c r="J3" s="11" t="inlineStr">
        <is>
          <t>A fazer</t>
        </is>
      </c>
      <c r="K3" s="11" t="inlineStr">
        <is>
          <t>Hoje empilha o Inspetora.png (IA). O corredor 2.psd já tem uma massa pintada pela equipe (Camadas 6, 7, 8): dá para seguir aquele estilo.</t>
        </is>
      </c>
    </row>
    <row r="4">
      <c r="A4" s="10" t="inlineStr">
        <is>
          <t>CR03</t>
        </is>
      </c>
      <c r="B4" s="10" t="inlineStr">
        <is>
          <t>Criaturas</t>
        </is>
      </c>
      <c r="C4" s="10" t="inlineStr">
        <is>
          <t>Inspetora — galhos passando (susto da escada)</t>
        </is>
      </c>
      <c r="D4" s="10" t="inlineStr">
        <is>
          <t>02_Corredor1 (Susto_Escada)</t>
        </is>
      </c>
      <c r="E4" s="10" t="inlineStr">
        <is>
          <t>Arte humana parcial</t>
        </is>
      </c>
      <c r="F4" s="10" t="inlineStr">
        <is>
          <t>Galhos/braços atravessando a escada rapidamente (1 imagem, lateral).</t>
        </is>
      </c>
      <c r="G4" s="10" t="inlineStr">
        <is>
          <t>PNG transparente ~512 px</t>
        </is>
      </c>
      <c r="H4" s="10" t="inlineStr">
        <is>
          <t>1 – Demo (Arco 1)</t>
        </is>
      </c>
      <c r="I4" s="11" t="inlineStr"/>
      <c r="J4" s="11" t="inlineStr">
        <is>
          <t>A fazer</t>
        </is>
      </c>
      <c r="K4" s="11" t="inlineStr">
        <is>
          <t>Usa a Camada 8 do corredor 2.psd (humana) e cai no Inspetora.png (IA) se ela faltar. Conferir se a camada serve para este susto.</t>
        </is>
      </c>
    </row>
    <row r="5">
      <c r="A5" s="10" t="inlineStr">
        <is>
          <t>CR04</t>
        </is>
      </c>
      <c r="B5" s="10" t="inlineStr">
        <is>
          <t>Criaturas</t>
        </is>
      </c>
      <c r="C5" s="10" t="inlineStr">
        <is>
          <t>Inspetora — reflexo no espelho</t>
        </is>
      </c>
      <c r="D5" s="10" t="inlineStr">
        <is>
          <t>03_Banheiro (Susto_Espelho)</t>
        </is>
      </c>
      <c r="E5" s="10" t="inlineStr">
        <is>
          <t>Arte humana parcial</t>
        </is>
      </c>
      <c r="F5" s="10" t="inlineStr">
        <is>
          <t>Rosto/silhueta dela refletida no espelho do banheiro, por um instante.</t>
        </is>
      </c>
      <c r="G5" s="10" t="inlineStr">
        <is>
          <t>PNG transparente ~512 px</t>
        </is>
      </c>
      <c r="H5" s="10" t="inlineStr">
        <is>
          <t>1 – Demo (Arco 1)</t>
        </is>
      </c>
      <c r="I5" s="11" t="inlineStr"/>
      <c r="J5" s="11" t="inlineStr">
        <is>
          <t>A fazer</t>
        </is>
      </c>
      <c r="K5" s="11" t="inlineStr">
        <is>
          <t>Mesmo caso do item acima (Camada 8 do corredor 2.psd ou IA).</t>
        </is>
      </c>
    </row>
    <row r="6">
      <c r="A6" s="10" t="inlineStr">
        <is>
          <t>CR05</t>
        </is>
      </c>
      <c r="B6" s="10" t="inlineStr">
        <is>
          <t>Criaturas</t>
        </is>
      </c>
      <c r="C6" s="10" t="inlineStr">
        <is>
          <t>Inspetora — forma de dia (mulher alta e silenciosa)</t>
        </is>
      </c>
      <c r="D6" s="10" t="inlineStr">
        <is>
          <t>Memórias da chegada; aparições diurnas</t>
        </is>
      </c>
      <c r="E6" s="10" t="inlineStr">
        <is>
          <t>Sem ilustração</t>
        </is>
      </c>
      <c r="F6" s="10" t="inlineStr">
        <is>
          <t>Mulher alta, silenciosa, que apaga as luzes dos dormitórios.</t>
        </is>
      </c>
      <c r="G6" s="10" t="inlineStr">
        <is>
          <t>PSD/PSB em camadas (partes separadas para animar) ou PNG por quadro; fundo transparente; ~1400 px de altura</t>
        </is>
      </c>
      <c r="H6" s="10" t="inlineStr">
        <is>
          <t>2 – Arco 2</t>
        </is>
      </c>
      <c r="I6" s="11" t="inlineStr"/>
      <c r="J6" s="11" t="inlineStr">
        <is>
          <t>A fazer</t>
        </is>
      </c>
      <c r="K6" s="11" t="inlineStr">
        <is>
          <t>Previsto no GDD; ainda não está no jogo.</t>
        </is>
      </c>
    </row>
    <row r="7">
      <c r="A7" s="10" t="inlineStr">
        <is>
          <t>CR06</t>
        </is>
      </c>
      <c r="B7" s="10" t="inlineStr">
        <is>
          <t>Criaturas</t>
        </is>
      </c>
      <c r="C7" s="10" t="inlineStr">
        <is>
          <t>Diretor — forma verdadeira</t>
        </is>
      </c>
      <c r="D7" s="10" t="inlineStr">
        <is>
          <t>00_Pesadelo (figura alta ao lado da Amelie); Arco 2: escritório, armazém, dormitório 2</t>
        </is>
      </c>
      <c r="E7" s="10" t="inlineStr">
        <is>
          <t>Ilustração de IA — refazer</t>
        </is>
      </c>
      <c r="F7" s="10" t="inlineStr">
        <is>
          <t>Figura escura e volumosa, máscara branca com um único furo, cercado de fichas. Poses: sentado escrevendo, parado ouvindo, procurando, andando.</t>
        </is>
      </c>
      <c r="G7" s="10" t="inlineStr">
        <is>
          <t>PSD/PSB em camadas (partes separadas para animar) ou PNG por quadro; fundo transparente; ~1400 px de altura</t>
        </is>
      </c>
      <c r="H7" s="10" t="inlineStr">
        <is>
          <t>1 – Demo (Arco 1)</t>
        </is>
      </c>
      <c r="I7" s="11" t="inlineStr"/>
      <c r="J7" s="11" t="inlineStr">
        <is>
          <t>A fazer</t>
        </is>
      </c>
      <c r="K7" s="11" t="inlineStr">
        <is>
          <t>Hoje é Assets/Sprites/Criaturas/Diretor.png (IA), usado no pesadelo. Prioridade 1 pelo pesadelo; as poses de gameplay são do Arco 2.</t>
        </is>
      </c>
    </row>
    <row r="8">
      <c r="A8" s="10" t="inlineStr">
        <is>
          <t>CR07</t>
        </is>
      </c>
      <c r="B8" s="10" t="inlineStr">
        <is>
          <t>Criaturas</t>
        </is>
      </c>
      <c r="C8" s="10" t="inlineStr">
        <is>
          <t>Diretor — forma de dia</t>
        </is>
      </c>
      <c r="D8" s="10" t="inlineStr">
        <is>
          <t>Memória da chegada (recebe as irmãs na entrada)</t>
        </is>
      </c>
      <c r="E8" s="10" t="inlineStr">
        <is>
          <t>Sem ilustração</t>
        </is>
      </c>
      <c r="F8" s="10" t="inlineStr">
        <is>
          <t>Adulto severo e distante na porta do orfanato.</t>
        </is>
      </c>
      <c r="G8" s="10" t="inlineStr">
        <is>
          <t>PSD/PSB em camadas (partes separadas para animar) ou PNG por quadro; fundo transparente; ~1400 px de altura</t>
        </is>
      </c>
      <c r="H8" s="10" t="inlineStr">
        <is>
          <t>2 – Arco 2</t>
        </is>
      </c>
      <c r="I8" s="11" t="inlineStr"/>
      <c r="J8" s="11" t="inlineStr">
        <is>
          <t>A fazer</t>
        </is>
      </c>
      <c r="K8" s="11" t="inlineStr"/>
    </row>
    <row r="9">
      <c r="A9" s="10" t="inlineStr">
        <is>
          <t>CR08</t>
        </is>
      </c>
      <c r="B9" s="10" t="inlineStr">
        <is>
          <t>Criaturas</t>
        </is>
      </c>
      <c r="C9" s="10" t="inlineStr">
        <is>
          <t>Governanta — forma verdadeira</t>
        </is>
      </c>
      <c r="D9" s="10" t="inlineStr">
        <is>
          <t>Arco 3: lavanderia, o Fundo, sala do livro</t>
        </is>
      </c>
      <c r="E9" s="10" t="inlineStr">
        <is>
          <t>Sem ilustração</t>
        </is>
      </c>
      <c r="F9" s="10" t="inlineStr">
        <is>
          <t>Figura enorme envolta em lençóis, que abraça tudo à volta (opção recomendada no GDD: autofobia).</t>
        </is>
      </c>
      <c r="G9" s="10" t="inlineStr">
        <is>
          <t>PSD/PSB em camadas (partes separadas para animar) ou PNG por quadro; fundo transparente; ~1400 px de altura</t>
        </is>
      </c>
      <c r="H9" s="10" t="inlineStr">
        <is>
          <t>3 – Arco 3 / final</t>
        </is>
      </c>
      <c r="I9" s="11" t="inlineStr"/>
      <c r="J9" s="11" t="inlineStr">
        <is>
          <t>A fazer</t>
        </is>
      </c>
      <c r="K9" s="11" t="inlineStr">
        <is>
          <t>Fobia do Arco 3 ainda não definida em definitivo.</t>
        </is>
      </c>
    </row>
    <row r="10">
      <c r="A10" s="10" t="inlineStr">
        <is>
          <t>CR09</t>
        </is>
      </c>
      <c r="B10" s="10" t="inlineStr">
        <is>
          <t>Criaturas</t>
        </is>
      </c>
      <c r="C10" s="10" t="inlineStr">
        <is>
          <t>Figuras altas do pesadelo (silhuetas)</t>
        </is>
      </c>
      <c r="D10" s="10" t="inlineStr">
        <is>
          <t>00_Pesadelo</t>
        </is>
      </c>
      <c r="E10" s="10" t="inlineStr">
        <is>
          <t>Ilustração de IA — refazer</t>
        </is>
      </c>
      <c r="F10" s="10" t="inlineStr">
        <is>
          <t>Duas silhuetas altas, quase invisíveis no escuro, conduzindo a Amelie. Não devem ser identificáveis.</t>
        </is>
      </c>
      <c r="G10" s="10" t="inlineStr">
        <is>
          <t>PSD/PSB em camadas (partes separadas para animar) ou PNG por quadro; fundo transparente; ~1400 px de altura</t>
        </is>
      </c>
      <c r="H10" s="10" t="inlineStr">
        <is>
          <t>1 – Demo (Arco 1)</t>
        </is>
      </c>
      <c r="I10" s="11" t="inlineStr"/>
      <c r="J10" s="11" t="inlineStr">
        <is>
          <t>A fazer</t>
        </is>
      </c>
      <c r="K10" s="11" t="inlineStr">
        <is>
          <t>Hoje são o Diretor.png e o Inspetora.png (IA) escurecidos. Podem sair dos desenhos novos do Diretor e da Inspetora, mas como silhuetas próprias.</t>
        </is>
      </c>
    </row>
    <row r="11">
      <c r="A11" s="10" t="inlineStr">
        <is>
          <t>PE01</t>
        </is>
      </c>
      <c r="B11" s="10" t="inlineStr">
        <is>
          <t>Personagens</t>
        </is>
      </c>
      <c r="C11" s="10" t="inlineStr">
        <is>
          <t>Amelie — no pesadelo (de costas e virando)</t>
        </is>
      </c>
      <c r="D11" s="10" t="inlineStr">
        <is>
          <t>00_Pesadelo</t>
        </is>
      </c>
      <c r="E11" s="10" t="inlineStr">
        <is>
          <t>Arte humana parcial</t>
        </is>
      </c>
      <c r="F11" s="10" t="inlineStr">
        <is>
          <t>Amelie andando de costas pelo corredor e, uma vez, virando para trás ao dizer 'Eu volto antes de você...'.</t>
        </is>
      </c>
      <c r="G11" s="10" t="inlineStr">
        <is>
          <t>PSD/PSB em camadas (partes separadas para animar) ou PNG por quadro; fundo transparente; ~1400 px de altura</t>
        </is>
      </c>
      <c r="H11" s="10" t="inlineStr">
        <is>
          <t>1 – Demo (Arco 1)</t>
        </is>
      </c>
      <c r="I11" s="11" t="inlineStr"/>
      <c r="J11" s="11" t="inlineStr">
        <is>
          <t>A fazer</t>
        </is>
      </c>
      <c r="K11" s="11" t="inlineStr">
        <is>
          <t>Hoje usa a Camada 15 do 3° andar.psd (humana), com o Amelie_sombra.png (IA) de reserva. Falta a pose virando.</t>
        </is>
      </c>
    </row>
    <row r="12">
      <c r="A12" s="10" t="inlineStr">
        <is>
          <t>PE02</t>
        </is>
      </c>
      <c r="B12" s="10" t="inlineStr">
        <is>
          <t>Personagens</t>
        </is>
      </c>
      <c r="C12" s="10" t="inlineStr">
        <is>
          <t>Amelie — nas memórias</t>
        </is>
      </c>
      <c r="D12" s="10" t="inlineStr">
        <is>
          <t>Fragmentos: noite da chegada (mão se soltando) e noite da despedida (entregando o urso)</t>
        </is>
      </c>
      <c r="E12" s="10" t="inlineStr">
        <is>
          <t>Sem ilustração</t>
        </is>
      </c>
      <c r="F12" s="10" t="inlineStr">
        <is>
          <t>Poses curtas e distorcidas: segurando a mão da Luma; colocando o urso nos braços dela.</t>
        </is>
      </c>
      <c r="G12" s="10" t="inlineStr">
        <is>
          <t>PSD/PSB em camadas (partes separadas para animar) ou PNG por quadro; fundo transparente; ~1400 px de altura</t>
        </is>
      </c>
      <c r="H12" s="10" t="inlineStr">
        <is>
          <t>2 – Arco 2</t>
        </is>
      </c>
      <c r="I12" s="11" t="inlineStr"/>
      <c r="J12" s="11" t="inlineStr">
        <is>
          <t>A fazer</t>
        </is>
      </c>
      <c r="K12" s="11" t="inlineStr">
        <is>
          <t>Memórias devem ser curtas, visualmente distorcidas e incompletas (GDD).</t>
        </is>
      </c>
    </row>
    <row r="13">
      <c r="A13" s="10" t="inlineStr">
        <is>
          <t>PE03</t>
        </is>
      </c>
      <c r="B13" s="10" t="inlineStr">
        <is>
          <t>Personagens</t>
        </is>
      </c>
      <c r="C13" s="10" t="inlineStr">
        <is>
          <t>Amelie — no Fundo (imóvel, com a página)</t>
        </is>
      </c>
      <c r="D13" s="10" t="inlineStr">
        <is>
          <t>Arco 3, final</t>
        </is>
      </c>
      <c r="E13" s="10" t="inlineStr">
        <is>
          <t>Sem ilustração</t>
        </is>
      </c>
      <c r="F13" s="10" t="inlineStr">
        <is>
          <t>Amelie imóvel ao lado do livro, com a página arrancada nas mãos. Contido e respeitoso, sem violência gráfica.</t>
        </is>
      </c>
      <c r="G13" s="10" t="inlineStr">
        <is>
          <t>PSD/PSB em camadas (partes separadas para animar) ou PNG por quadro; fundo transparente; ~1400 px de altura</t>
        </is>
      </c>
      <c r="H13" s="10" t="inlineStr">
        <is>
          <t>3 – Arco 3 / final</t>
        </is>
      </c>
      <c r="I13" s="11" t="inlineStr"/>
      <c r="J13" s="11" t="inlineStr">
        <is>
          <t>A fazer</t>
        </is>
      </c>
      <c r="K13" s="11" t="inlineStr"/>
    </row>
    <row r="14">
      <c r="A14" s="10" t="inlineStr">
        <is>
          <t>PE04</t>
        </is>
      </c>
      <c r="B14" s="10" t="inlineStr">
        <is>
          <t>Personagens</t>
        </is>
      </c>
      <c r="C14" s="10" t="inlineStr">
        <is>
          <t>Crianças dormindo (dormitório 2)</t>
        </is>
      </c>
      <c r="D14" s="10" t="inlineStr">
        <is>
          <t>06_Dormitorio2 (5 crianças)</t>
        </is>
      </c>
      <c r="E14" s="10" t="inlineStr">
        <is>
          <t>Sem ilustração</t>
        </is>
      </c>
      <c r="F14" s="10" t="inlineStr">
        <is>
          <t>Crianças nas camas: dormindo, se mexendo (1º aviso) e acordando (2º aviso).</t>
        </is>
      </c>
      <c r="G14" s="10" t="inlineStr">
        <is>
          <t>PSD/PSB em camadas (partes separadas para animar) ou PNG por quadro; fundo transparente; ~1400 px de altura</t>
        </is>
      </c>
      <c r="H14" s="10" t="inlineStr">
        <is>
          <t>1 – Demo (Arco 1)</t>
        </is>
      </c>
      <c r="I14" s="11" t="inlineStr"/>
      <c r="J14" s="11" t="inlineStr">
        <is>
          <t>A fazer</t>
        </is>
      </c>
      <c r="K14" s="11" t="inlineStr">
        <is>
          <t>O componente SleepingChild não tem desenho. Conferir se o quarto 2.psd já pinta crianças nas camas.</t>
        </is>
      </c>
    </row>
    <row r="15">
      <c r="A15" s="10" t="inlineStr">
        <is>
          <t>PE05</t>
        </is>
      </c>
      <c r="B15" s="10" t="inlineStr">
        <is>
          <t>Personagens</t>
        </is>
      </c>
      <c r="C15" s="10" t="inlineStr">
        <is>
          <t>Outras crianças do orfanato</t>
        </is>
      </c>
      <c r="D15" s="10" t="inlineStr">
        <is>
          <t>Arcos 1–2 (sussurros, testemunhos)</t>
        </is>
      </c>
      <c r="E15" s="10" t="inlineStr">
        <is>
          <t>Sem ilustração</t>
        </is>
      </c>
      <c r="F15" s="10" t="inlineStr">
        <is>
          <t>Crianças comuns do orfanato, de pijama.</t>
        </is>
      </c>
      <c r="G15" s="10" t="inlineStr">
        <is>
          <t>PSD/PSB em camadas (partes separadas para animar) ou PNG por quadro; fundo transparente; ~1400 px de altura</t>
        </is>
      </c>
      <c r="H15" s="10" t="inlineStr">
        <is>
          <t>2 – Arco 2</t>
        </is>
      </c>
      <c r="I15" s="11" t="inlineStr"/>
      <c r="J15" s="11" t="inlineStr">
        <is>
          <t>A fazer</t>
        </is>
      </c>
      <c r="K15" s="11" t="inlineStr">
        <is>
          <t>Previsto no GDD.</t>
        </is>
      </c>
    </row>
    <row r="16">
      <c r="A16" s="10" t="inlineStr">
        <is>
          <t>LU01</t>
        </is>
      </c>
      <c r="B16" s="10" t="inlineStr">
        <is>
          <t>Luma (animações)</t>
        </is>
      </c>
      <c r="C16" s="10" t="inlineStr">
        <is>
          <t>Parada — lateral</t>
        </is>
      </c>
      <c r="D16" s="10" t="inlineStr">
        <is>
          <t>Todas as cenas</t>
        </is>
      </c>
      <c r="E16" s="10" t="inlineStr">
        <is>
          <t>Sem ilustração</t>
        </is>
      </c>
      <c r="F16" s="10" t="inlineStr">
        <is>
          <t>Respiração parada em vista lateral (hoje só existe o Idle de frente).</t>
        </is>
      </c>
      <c r="G16" s="10" t="inlineStr">
        <is>
          <t>Quadros no Luma.psb, mesmo estilo e tamanho dos 9 quadros do Idle; vista lateral (o jogo espelha para a esquerda)</t>
        </is>
      </c>
      <c r="H16" s="10" t="inlineStr">
        <is>
          <t>1 – Demo (Arco 1)</t>
        </is>
      </c>
      <c r="I16" s="11" t="inlineStr"/>
      <c r="J16" s="11" t="inlineStr">
        <is>
          <t>A fazer</t>
        </is>
      </c>
      <c r="K16" s="11" t="inlineStr">
        <is>
          <t>Luma.psb e os 9 quadros do Idle de frente já são arte humana.</t>
        </is>
      </c>
    </row>
    <row r="17">
      <c r="A17" s="10" t="inlineStr">
        <is>
          <t>LU02</t>
        </is>
      </c>
      <c r="B17" s="10" t="inlineStr">
        <is>
          <t>Luma (animações)</t>
        </is>
      </c>
      <c r="C17" s="10" t="inlineStr">
        <is>
          <t>Andar</t>
        </is>
      </c>
      <c r="D17" s="10" t="inlineStr">
        <is>
          <t>Todas as cenas</t>
        </is>
      </c>
      <c r="E17" s="10" t="inlineStr">
        <is>
          <t>Sem ilustração</t>
        </is>
      </c>
      <c r="F17" s="10" t="inlineStr">
        <is>
          <t>Ciclo de caminhada lateral.</t>
        </is>
      </c>
      <c r="G17" s="10" t="inlineStr">
        <is>
          <t>Quadros no Luma.psb, mesmo estilo e tamanho dos 9 quadros do Idle; vista lateral (o jogo espelha para a esquerda)</t>
        </is>
      </c>
      <c r="H17" s="10" t="inlineStr">
        <is>
          <t>1 – Demo (Arco 1)</t>
        </is>
      </c>
      <c r="I17" s="11" t="inlineStr"/>
      <c r="J17" s="11" t="inlineStr">
        <is>
          <t>A fazer</t>
        </is>
      </c>
      <c r="K17" s="11" t="inlineStr">
        <is>
          <t>Estado 'Walk' ainda não existe no Animator.</t>
        </is>
      </c>
    </row>
    <row r="18">
      <c r="A18" s="10" t="inlineStr">
        <is>
          <t>LU03</t>
        </is>
      </c>
      <c r="B18" s="10" t="inlineStr">
        <is>
          <t>Luma (animações)</t>
        </is>
      </c>
      <c r="C18" s="10" t="inlineStr">
        <is>
          <t>Correr</t>
        </is>
      </c>
      <c r="D18" s="10" t="inlineStr">
        <is>
          <t>Todas as cenas</t>
        </is>
      </c>
      <c r="E18" s="10" t="inlineStr">
        <is>
          <t>Sem ilustração</t>
        </is>
      </c>
      <c r="F18" s="10" t="inlineStr">
        <is>
          <t>Ciclo de corrida lateral (criança, desajeitada).</t>
        </is>
      </c>
      <c r="G18" s="10" t="inlineStr">
        <is>
          <t>Quadros no Luma.psb, mesmo estilo e tamanho dos 9 quadros do Idle; vista lateral (o jogo espelha para a esquerda)</t>
        </is>
      </c>
      <c r="H18" s="10" t="inlineStr">
        <is>
          <t>1 – Demo (Arco 1)</t>
        </is>
      </c>
      <c r="I18" s="11" t="inlineStr"/>
      <c r="J18" s="11" t="inlineStr">
        <is>
          <t>A fazer</t>
        </is>
      </c>
      <c r="K18" s="11" t="inlineStr"/>
    </row>
    <row r="19">
      <c r="A19" s="10" t="inlineStr">
        <is>
          <t>LU04</t>
        </is>
      </c>
      <c r="B19" s="10" t="inlineStr">
        <is>
          <t>Luma (animações)</t>
        </is>
      </c>
      <c r="C19" s="10" t="inlineStr">
        <is>
          <t>Pular</t>
        </is>
      </c>
      <c r="D19" s="10" t="inlineStr">
        <is>
          <t>Todas as cenas</t>
        </is>
      </c>
      <c r="E19" s="10" t="inlineStr">
        <is>
          <t>Sem ilustração</t>
        </is>
      </c>
      <c r="F19" s="10" t="inlineStr">
        <is>
          <t>Impulso, no ar, queda.</t>
        </is>
      </c>
      <c r="G19" s="10" t="inlineStr">
        <is>
          <t>Quadros no Luma.psb, mesmo estilo e tamanho dos 9 quadros do Idle; vista lateral (o jogo espelha para a esquerda)</t>
        </is>
      </c>
      <c r="H19" s="10" t="inlineStr">
        <is>
          <t>1 – Demo (Arco 1)</t>
        </is>
      </c>
      <c r="I19" s="11" t="inlineStr"/>
      <c r="J19" s="11" t="inlineStr">
        <is>
          <t>A fazer</t>
        </is>
      </c>
      <c r="K19" s="11" t="inlineStr"/>
    </row>
    <row r="20">
      <c r="A20" s="10" t="inlineStr">
        <is>
          <t>LU05</t>
        </is>
      </c>
      <c r="B20" s="10" t="inlineStr">
        <is>
          <t>Luma (animações)</t>
        </is>
      </c>
      <c r="C20" s="10" t="inlineStr">
        <is>
          <t>Subir / escalar</t>
        </is>
      </c>
      <c r="D20" s="10" t="inlineStr">
        <is>
          <t>Estantes, baú, mesa, beliche</t>
        </is>
      </c>
      <c r="E20" s="10" t="inlineStr">
        <is>
          <t>Placeholder de cor</t>
        </is>
      </c>
      <c r="F20" s="10" t="inlineStr">
        <is>
          <t>Luma se agarrando e subindo em algo da altura dela.</t>
        </is>
      </c>
      <c r="G20" s="10" t="inlineStr">
        <is>
          <t>Quadros no Luma.psb, mesmo estilo e tamanho dos 9 quadros do Idle; vista lateral (o jogo espelha para a esquerda)</t>
        </is>
      </c>
      <c r="H20" s="10" t="inlineStr">
        <is>
          <t>1 – Demo (Arco 1)</t>
        </is>
      </c>
      <c r="I20" s="11" t="inlineStr"/>
      <c r="J20" s="11" t="inlineStr">
        <is>
          <t>A fazer</t>
        </is>
      </c>
      <c r="K20" s="11" t="inlineStr">
        <is>
          <t>Hoje é o clipe placeholder azul Luma_Climb.anim.</t>
        </is>
      </c>
    </row>
    <row r="21">
      <c r="A21" s="10" t="inlineStr">
        <is>
          <t>LU06</t>
        </is>
      </c>
      <c r="B21" s="10" t="inlineStr">
        <is>
          <t>Luma (animações)</t>
        </is>
      </c>
      <c r="C21" s="10" t="inlineStr">
        <is>
          <t>Empurrar</t>
        </is>
      </c>
      <c r="D21" s="10" t="inlineStr">
        <is>
          <t>Estantes e baú (Dormitório 1, Biblioteca)</t>
        </is>
      </c>
      <c r="E21" s="10" t="inlineStr">
        <is>
          <t>Placeholder de cor</t>
        </is>
      </c>
      <c r="F21" s="10" t="inlineStr">
        <is>
          <t>Empurrando um móvel pesado.</t>
        </is>
      </c>
      <c r="G21" s="10" t="inlineStr">
        <is>
          <t>Quadros no Luma.psb, mesmo estilo e tamanho dos 9 quadros do Idle; vista lateral (o jogo espelha para a esquerda)</t>
        </is>
      </c>
      <c r="H21" s="10" t="inlineStr">
        <is>
          <t>1 – Demo (Arco 1)</t>
        </is>
      </c>
      <c r="I21" s="11" t="inlineStr"/>
      <c r="J21" s="11" t="inlineStr">
        <is>
          <t>A fazer</t>
        </is>
      </c>
      <c r="K21" s="11" t="inlineStr">
        <is>
          <t>Placeholder amarelo Luma_Push.anim.</t>
        </is>
      </c>
    </row>
    <row r="22">
      <c r="A22" s="10" t="inlineStr">
        <is>
          <t>LU07</t>
        </is>
      </c>
      <c r="B22" s="10" t="inlineStr">
        <is>
          <t>Luma (animações)</t>
        </is>
      </c>
      <c r="C22" s="10" t="inlineStr">
        <is>
          <t>Puxar</t>
        </is>
      </c>
      <c r="D22" s="10" t="inlineStr">
        <is>
          <t>Estantes e baú</t>
        </is>
      </c>
      <c r="E22" s="10" t="inlineStr">
        <is>
          <t>Placeholder de cor</t>
        </is>
      </c>
      <c r="F22" s="10" t="inlineStr">
        <is>
          <t>Puxando um móvel, andando de costas.</t>
        </is>
      </c>
      <c r="G22" s="10" t="inlineStr">
        <is>
          <t>Quadros no Luma.psb, mesmo estilo e tamanho dos 9 quadros do Idle; vista lateral (o jogo espelha para a esquerda)</t>
        </is>
      </c>
      <c r="H22" s="10" t="inlineStr">
        <is>
          <t>1 – Demo (Arco 1)</t>
        </is>
      </c>
      <c r="I22" s="11" t="inlineStr"/>
      <c r="J22" s="11" t="inlineStr">
        <is>
          <t>A fazer</t>
        </is>
      </c>
      <c r="K22" s="11" t="inlineStr">
        <is>
          <t>Placeholder laranja Luma_Pull.anim.</t>
        </is>
      </c>
    </row>
    <row r="23">
      <c r="A23" s="10" t="inlineStr">
        <is>
          <t>LU08</t>
        </is>
      </c>
      <c r="B23" s="10" t="inlineStr">
        <is>
          <t>Luma (animações)</t>
        </is>
      </c>
      <c r="C23" s="10" t="inlineStr">
        <is>
          <t>Segurando parada</t>
        </is>
      </c>
      <c r="D23" s="10" t="inlineStr">
        <is>
          <t>Estantes e baú</t>
        </is>
      </c>
      <c r="E23" s="10" t="inlineStr">
        <is>
          <t>Placeholder de cor</t>
        </is>
      </c>
      <c r="F23" s="10" t="inlineStr">
        <is>
          <t>Mãos no móvel, parada.</t>
        </is>
      </c>
      <c r="G23" s="10" t="inlineStr">
        <is>
          <t>Quadros no Luma.psb, mesmo estilo e tamanho dos 9 quadros do Idle; vista lateral (o jogo espelha para a esquerda)</t>
        </is>
      </c>
      <c r="H23" s="10" t="inlineStr">
        <is>
          <t>1 – Demo (Arco 1)</t>
        </is>
      </c>
      <c r="I23" s="11" t="inlineStr"/>
      <c r="J23" s="11" t="inlineStr">
        <is>
          <t>A fazer</t>
        </is>
      </c>
      <c r="K23" s="11" t="inlineStr">
        <is>
          <t>Placeholder bege Luma_Grab.anim.</t>
        </is>
      </c>
    </row>
    <row r="24">
      <c r="A24" s="10" t="inlineStr">
        <is>
          <t>LU09</t>
        </is>
      </c>
      <c r="B24" s="10" t="inlineStr">
        <is>
          <t>Luma (animações)</t>
        </is>
      </c>
      <c r="C24" s="10" t="inlineStr">
        <is>
          <t>Esconder (entrar/sair)</t>
        </is>
      </c>
      <c r="D24" s="10" t="inlineStr">
        <is>
          <t>Embaixo da cama/mesa, cortina, cabine, armário</t>
        </is>
      </c>
      <c r="E24" s="10" t="inlineStr">
        <is>
          <t>Placeholder de cor</t>
        </is>
      </c>
      <c r="F24" s="10" t="inlineStr">
        <is>
          <t>Entrando e saindo do esconderijo; encolhida escondida (quando o esconderijo não some com o sprite).</t>
        </is>
      </c>
      <c r="G24" s="10" t="inlineStr">
        <is>
          <t>Quadros no Luma.psb, mesmo estilo e tamanho dos 9 quadros do Idle; vista lateral (o jogo espelha para a esquerda)</t>
        </is>
      </c>
      <c r="H24" s="10" t="inlineStr">
        <is>
          <t>1 – Demo (Arco 1)</t>
        </is>
      </c>
      <c r="I24" s="11" t="inlineStr"/>
      <c r="J24" s="11" t="inlineStr">
        <is>
          <t>A fazer</t>
        </is>
      </c>
      <c r="K24" s="11" t="inlineStr">
        <is>
          <t>Placeholder Luma_Hide.anim.</t>
        </is>
      </c>
    </row>
    <row r="25">
      <c r="A25" s="10" t="inlineStr">
        <is>
          <t>LU10</t>
        </is>
      </c>
      <c r="B25" s="10" t="inlineStr">
        <is>
          <t>Luma (animações)</t>
        </is>
      </c>
      <c r="C25" s="10" t="inlineStr">
        <is>
          <t>Sendo pega / puxada</t>
        </is>
      </c>
      <c r="D25" s="10" t="inlineStr">
        <is>
          <t>Captura (todas as criaturas)</t>
        </is>
      </c>
      <c r="E25" s="10" t="inlineStr">
        <is>
          <t>Placeholder de cor</t>
        </is>
      </c>
      <c r="F25" s="10" t="inlineStr">
        <is>
          <t>Susto e sendo arrastada para fora do quadro.</t>
        </is>
      </c>
      <c r="G25" s="10" t="inlineStr">
        <is>
          <t>Quadros no Luma.psb, mesmo estilo e tamanho dos 9 quadros do Idle; vista lateral (o jogo espelha para a esquerda)</t>
        </is>
      </c>
      <c r="H25" s="10" t="inlineStr">
        <is>
          <t>1 – Demo (Arco 1)</t>
        </is>
      </c>
      <c r="I25" s="11" t="inlineStr"/>
      <c r="J25" s="11" t="inlineStr">
        <is>
          <t>A fazer</t>
        </is>
      </c>
      <c r="K25" s="11" t="inlineStr">
        <is>
          <t>Placeholder vermelho Luma_Caught.anim.</t>
        </is>
      </c>
    </row>
    <row r="26">
      <c r="A26" s="10" t="inlineStr">
        <is>
          <t>LU11</t>
        </is>
      </c>
      <c r="B26" s="10" t="inlineStr">
        <is>
          <t>Luma (animações)</t>
        </is>
      </c>
      <c r="C26" s="10" t="inlineStr">
        <is>
          <t>Escada (subindo e descendo)</t>
        </is>
      </c>
      <c r="D26" s="10" t="inlineStr">
        <is>
          <t>02_Corredor1 (escadas 3D)</t>
        </is>
      </c>
      <c r="E26" s="10" t="inlineStr">
        <is>
          <t>Placeholder de cor</t>
        </is>
      </c>
      <c r="F26" s="10" t="inlineStr">
        <is>
          <t>De costas subindo; de costas descendo.</t>
        </is>
      </c>
      <c r="G26" s="10" t="inlineStr">
        <is>
          <t>Quadros no Luma.psb, mesmo estilo e tamanho dos 9 quadros do Idle; vista lateral (o jogo espelha para a esquerda)</t>
        </is>
      </c>
      <c r="H26" s="10" t="inlineStr">
        <is>
          <t>1 – Demo (Arco 1)</t>
        </is>
      </c>
      <c r="I26" s="11" t="inlineStr"/>
      <c r="J26" s="11" t="inlineStr">
        <is>
          <t>A fazer</t>
        </is>
      </c>
      <c r="K26" s="11" t="inlineStr">
        <is>
          <t>Placeholder verde Luma_Stairs.anim.</t>
        </is>
      </c>
    </row>
    <row r="27">
      <c r="A27" s="10" t="inlineStr">
        <is>
          <t>LU12</t>
        </is>
      </c>
      <c r="B27" s="10" t="inlineStr">
        <is>
          <t>Luma (animações)</t>
        </is>
      </c>
      <c r="C27" s="10" t="inlineStr">
        <is>
          <t>Abraçando o urso</t>
        </is>
      </c>
      <c r="D27" s="10" t="inlineStr">
        <is>
          <t>Todas as cenas (tecla F)</t>
        </is>
      </c>
      <c r="E27" s="10" t="inlineStr">
        <is>
          <t>Sem ilustração</t>
        </is>
      </c>
      <c r="F27" s="10" t="inlineStr">
        <is>
          <t>Parada, abraçando o urso de pelúcia com força.</t>
        </is>
      </c>
      <c r="G27" s="10" t="inlineStr">
        <is>
          <t>Quadros no Luma.psb, mesmo estilo e tamanho dos 9 quadros do Idle; vista lateral (o jogo espelha para a esquerda)</t>
        </is>
      </c>
      <c r="H27" s="10" t="inlineStr">
        <is>
          <t>1 – Demo (Arco 1)</t>
        </is>
      </c>
      <c r="I27" s="11" t="inlineStr"/>
      <c r="J27" s="11" t="inlineStr">
        <is>
          <t>A fazer</t>
        </is>
      </c>
      <c r="K27" s="11" t="inlineStr">
        <is>
          <t>Mecânica já funciona; estado 'Hug' sem desenho.</t>
        </is>
      </c>
    </row>
    <row r="28">
      <c r="A28" s="10" t="inlineStr">
        <is>
          <t>LU13</t>
        </is>
      </c>
      <c r="B28" s="10" t="inlineStr">
        <is>
          <t>Luma (animações)</t>
        </is>
      </c>
      <c r="C28" s="10" t="inlineStr">
        <is>
          <t>Marca no pulso escurecendo</t>
        </is>
      </c>
      <c r="D28" s="10" t="inlineStr">
        <is>
          <t>Todas as cenas</t>
        </is>
      </c>
      <c r="E28" s="10" t="inlineStr">
        <is>
          <t>Sem ilustração</t>
        </is>
      </c>
      <c r="F28" s="10" t="inlineStr">
        <is>
          <t>Manchinha de tinta no pulso, visível desde o início; versão mais escura para medo alto.</t>
        </is>
      </c>
      <c r="G28" s="10" t="inlineStr">
        <is>
          <t>Camada separada no Luma.psb (2 versões da mancha)</t>
        </is>
      </c>
      <c r="H28" s="10" t="inlineStr">
        <is>
          <t>1 – Demo (Arco 1)</t>
        </is>
      </c>
      <c r="I28" s="11" t="inlineStr"/>
      <c r="J28" s="11" t="inlineStr">
        <is>
          <t>A fazer</t>
        </is>
      </c>
      <c r="K28" s="11" t="inlineStr">
        <is>
          <t>GDD: detalhe discreto que o jogador percebe sem entender.</t>
        </is>
      </c>
    </row>
    <row r="29">
      <c r="A29" s="10" t="inlineStr">
        <is>
          <t>LU14</t>
        </is>
      </c>
      <c r="B29" s="10" t="inlineStr">
        <is>
          <t>Luma (animações)</t>
        </is>
      </c>
      <c r="C29" s="10" t="inlineStr">
        <is>
          <t>Acordando na cama / deitada</t>
        </is>
      </c>
      <c r="D29" s="10" t="inlineStr">
        <is>
          <t>01_Dormitorio1 (despertar), final do jogo</t>
        </is>
      </c>
      <c r="E29" s="10" t="inlineStr">
        <is>
          <t>Sem ilustração</t>
        </is>
      </c>
      <c r="F29" s="10" t="inlineStr">
        <is>
          <t>Deitada abraçada ao urso; sentando assustada.</t>
        </is>
      </c>
      <c r="G29" s="10" t="inlineStr">
        <is>
          <t>Quadros no Luma.psb, mesmo estilo e tamanho dos 9 quadros do Idle; vista lateral (o jogo espelha para a esquerda)</t>
        </is>
      </c>
      <c r="H29" s="10" t="inlineStr">
        <is>
          <t>1 – Demo (Arco 1)</t>
        </is>
      </c>
      <c r="I29" s="11" t="inlineStr"/>
      <c r="J29" s="11" t="inlineStr">
        <is>
          <t>A fazer</t>
        </is>
      </c>
      <c r="K29" s="11" t="inlineStr"/>
    </row>
    <row r="30">
      <c r="A30" s="10" t="inlineStr">
        <is>
          <t>LU15</t>
        </is>
      </c>
      <c r="B30" s="10" t="inlineStr">
        <is>
          <t>Luma (animações)</t>
        </is>
      </c>
      <c r="C30" s="10" t="inlineStr">
        <is>
          <t>Pegar / olhar objeto</t>
        </is>
      </c>
      <c r="D30" s="10" t="inlineStr">
        <is>
          <t>Pistas e itens</t>
        </is>
      </c>
      <c r="E30" s="10" t="inlineStr">
        <is>
          <t>Sem ilustração</t>
        </is>
      </c>
      <c r="F30" s="10" t="inlineStr">
        <is>
          <t>Abaixando para pegar; olhando algo na mão.</t>
        </is>
      </c>
      <c r="G30" s="10" t="inlineStr">
        <is>
          <t>Quadros no Luma.psb, mesmo estilo e tamanho dos 9 quadros do Idle; vista lateral (o jogo espelha para a esquerda)</t>
        </is>
      </c>
      <c r="H30" s="10" t="inlineStr">
        <is>
          <t>2 – Arco 2</t>
        </is>
      </c>
      <c r="I30" s="11" t="inlineStr"/>
      <c r="J30" s="11" t="inlineStr">
        <is>
          <t>A fazer</t>
        </is>
      </c>
      <c r="K30" s="11" t="inlineStr">
        <is>
          <t>Opcional para a demo.</t>
        </is>
      </c>
    </row>
    <row r="31">
      <c r="A31" s="10" t="inlineStr">
        <is>
          <t>CE01</t>
        </is>
      </c>
      <c r="B31" s="10" t="inlineStr">
        <is>
          <t>Cenários</t>
        </is>
      </c>
      <c r="C31" s="10" t="inlineStr">
        <is>
          <t>08_Biblioteca</t>
        </is>
      </c>
      <c r="D31" s="10" t="inlineStr">
        <is>
          <t>Arco 1 (demo)</t>
        </is>
      </c>
      <c r="E31" s="10" t="inlineStr">
        <is>
          <t>Bloco provisório (cinza)</t>
        </is>
      </c>
      <c r="F31" s="10" t="inlineStr">
        <is>
          <t>Biblioteca abafada: estantes altas, armário alto (a Luma sobe nele pelo baú), mesa de leitura, baú empurrável, porta para o corredor.</t>
        </is>
      </c>
      <c r="G31" s="10" t="inlineStr">
        <is>
          <t>PSD em camadas no padrão dos cenários da equipe (fundo, chão, móveis soltos e da frente em camadas separadas), mesma proporção e estilo do corredor.psd</t>
        </is>
      </c>
      <c r="H31" s="10" t="inlineStr">
        <is>
          <t>1 – Demo (Arco 1)</t>
        </is>
      </c>
      <c r="I31" s="11" t="inlineStr"/>
      <c r="J31" s="11" t="inlineStr">
        <is>
          <t>A fazer</t>
        </is>
      </c>
      <c r="K31" s="11" t="inlineStr">
        <is>
          <t>Cena provisória em blocos cinza ('arte pendente').</t>
        </is>
      </c>
    </row>
    <row r="32">
      <c r="A32" s="10" t="inlineStr">
        <is>
          <t>CE02</t>
        </is>
      </c>
      <c r="B32" s="10" t="inlineStr">
        <is>
          <t>Cenários</t>
        </is>
      </c>
      <c r="C32" s="10" t="inlineStr">
        <is>
          <t>09_LazyRoom (sala de descanso / ninho da Inspetora)</t>
        </is>
      </c>
      <c r="D32" s="10" t="inlineStr">
        <is>
          <t>Arco 1 (demo)</t>
        </is>
      </c>
      <c r="E32" s="10" t="inlineStr">
        <is>
          <t>Bloco provisório (cinza)</t>
        </is>
      </c>
      <c r="F32" s="10" t="inlineStr">
        <is>
          <t>Sofá, poltrona, mesinha, caixa de luz na parede, lâmpada no teto, tigela; o ninho de galhos num canto; porta da sala de estar.</t>
        </is>
      </c>
      <c r="G32" s="10" t="inlineStr">
        <is>
          <t>PSD em camadas no padrão dos cenários da equipe (fundo, chão, móveis soltos e da frente em camadas separadas), mesma proporção e estilo do corredor.psd</t>
        </is>
      </c>
      <c r="H32" s="10" t="inlineStr">
        <is>
          <t>1 – Demo (Arco 1)</t>
        </is>
      </c>
      <c r="I32" s="11" t="inlineStr"/>
      <c r="J32" s="11" t="inlineStr">
        <is>
          <t>A fazer</t>
        </is>
      </c>
      <c r="K32" s="11" t="inlineStr">
        <is>
          <t>Cena provisória em blocos cinza.</t>
        </is>
      </c>
    </row>
    <row r="33">
      <c r="A33" s="10" t="inlineStr">
        <is>
          <t>CE03</t>
        </is>
      </c>
      <c r="B33" s="10" t="inlineStr">
        <is>
          <t>Cenários</t>
        </is>
      </c>
      <c r="C33" s="10" t="inlineStr">
        <is>
          <t>10_LivingRoom (sala de estar)</t>
        </is>
      </c>
      <c r="D33" s="10" t="inlineStr">
        <is>
          <t>Arco 1 (fim da demo)</t>
        </is>
      </c>
      <c r="E33" s="10" t="inlineStr">
        <is>
          <t>Bloco provisório (cinza)</t>
        </is>
      </c>
      <c r="F33" s="10" t="inlineStr">
        <is>
          <t>Lareira apagada (com o bilhete F01 em cima), duas poltronas, relógio de pé, janela.</t>
        </is>
      </c>
      <c r="G33" s="10" t="inlineStr">
        <is>
          <t>PSD em camadas no padrão dos cenários da equipe (fundo, chão, móveis soltos e da frente em camadas separadas), mesma proporção e estilo do corredor.psd</t>
        </is>
      </c>
      <c r="H33" s="10" t="inlineStr">
        <is>
          <t>1 – Demo (Arco 1)</t>
        </is>
      </c>
      <c r="I33" s="11" t="inlineStr"/>
      <c r="J33" s="11" t="inlineStr">
        <is>
          <t>A fazer</t>
        </is>
      </c>
      <c r="K33" s="11" t="inlineStr">
        <is>
          <t>Cena provisória em blocos cinza.</t>
        </is>
      </c>
    </row>
    <row r="34">
      <c r="A34" s="10" t="inlineStr">
        <is>
          <t>CE04</t>
        </is>
      </c>
      <c r="B34" s="10" t="inlineStr">
        <is>
          <t>Cenários</t>
        </is>
      </c>
      <c r="C34" s="10" t="inlineStr">
        <is>
          <t>Porta da biblioteca (Corredor 1)</t>
        </is>
      </c>
      <c r="D34" s="10" t="inlineStr">
        <is>
          <t>02_Corredor1</t>
        </is>
      </c>
      <c r="E34" s="10" t="inlineStr">
        <is>
          <t>Bloco provisório (cinza)</t>
        </is>
      </c>
      <c r="F34" s="10" t="inlineStr">
        <is>
          <t>Porta da biblioteca com placa, no fundo do nicho, integrada à pintura do corredor.</t>
        </is>
      </c>
      <c r="G34" s="10" t="inlineStr">
        <is>
          <t>Camada nova no corredor.psd</t>
        </is>
      </c>
      <c r="H34" s="10" t="inlineStr">
        <is>
          <t>1 – Demo (Arco 1)</t>
        </is>
      </c>
      <c r="I34" s="11" t="inlineStr"/>
      <c r="J34" s="11" t="inlineStr">
        <is>
          <t>A fazer</t>
        </is>
      </c>
      <c r="K34" s="11" t="inlineStr">
        <is>
          <t>Hoje: bloco marrom + texto 'BIBLIOTECA' gerado no código.</t>
        </is>
      </c>
    </row>
    <row r="35">
      <c r="A35" s="10" t="inlineStr">
        <is>
          <t>CE05</t>
        </is>
      </c>
      <c r="B35" s="10" t="inlineStr">
        <is>
          <t>Cenários</t>
        </is>
      </c>
      <c r="C35" s="10" t="inlineStr">
        <is>
          <t>Escada que desce ao térreo (Corredor 1)</t>
        </is>
      </c>
      <c r="D35" s="10" t="inlineStr">
        <is>
          <t>02_Corredor1</t>
        </is>
      </c>
      <c r="E35" s="10" t="inlineStr">
        <is>
          <t>Sem ilustração</t>
        </is>
      </c>
      <c r="F35" s="10" t="inlineStr">
        <is>
          <t>Porta/abertura embaixo do lance de subida, com os primeiros degraus descendo para o escuro.</t>
        </is>
      </c>
      <c r="G35" s="10" t="inlineStr">
        <is>
          <t>Camada nova no corredor.psd + pintura do poço (degraus, paredes)</t>
        </is>
      </c>
      <c r="H35" s="10" t="inlineStr">
        <is>
          <t>1 – Demo (Arco 1)</t>
        </is>
      </c>
      <c r="I35" s="11" t="inlineStr"/>
      <c r="J35" s="11" t="inlineStr">
        <is>
          <t>A fazer</t>
        </is>
      </c>
      <c r="K35" s="11" t="inlineStr">
        <is>
          <t>Hoje os degraus usam pedaços dos degraus pintados da subida como textura.</t>
        </is>
      </c>
    </row>
    <row r="36">
      <c r="A36" s="10" t="inlineStr">
        <is>
          <t>CE06</t>
        </is>
      </c>
      <c r="B36" s="10" t="inlineStr">
        <is>
          <t>Cenários</t>
        </is>
      </c>
      <c r="C36" s="10" t="inlineStr">
        <is>
          <t>Tábuas soltas (Dormitório 2)</t>
        </is>
      </c>
      <c r="D36" s="10" t="inlineStr">
        <is>
          <t>06_Dormitorio2 (2 tábuas)</t>
        </is>
      </c>
      <c r="E36" s="10" t="inlineStr">
        <is>
          <t>Bloco provisório (cinza)</t>
        </is>
      </c>
      <c r="F36" s="10" t="inlineStr">
        <is>
          <t>Tábuas do piso levemente soltas/levantadas, que o jogador precisa reconhecer.</t>
        </is>
      </c>
      <c r="G36" s="10" t="inlineStr">
        <is>
          <t>PNG transparente ~512 px</t>
        </is>
      </c>
      <c r="H36" s="10" t="inlineStr">
        <is>
          <t>1 – Demo (Arco 1)</t>
        </is>
      </c>
      <c r="I36" s="11" t="inlineStr"/>
      <c r="J36" s="11" t="inlineStr">
        <is>
          <t>A fazer</t>
        </is>
      </c>
      <c r="K36" s="11" t="inlineStr">
        <is>
          <t>Hoje: blocos marrons finos.</t>
        </is>
      </c>
    </row>
    <row r="37">
      <c r="A37" s="10" t="inlineStr">
        <is>
          <t>CE07</t>
        </is>
      </c>
      <c r="B37" s="10" t="inlineStr">
        <is>
          <t>Cenários</t>
        </is>
      </c>
      <c r="C37" s="10" t="inlineStr">
        <is>
          <t>07_Escritorio (sala do Diretor)</t>
        </is>
      </c>
      <c r="D37" s="10" t="inlineStr">
        <is>
          <t>Arco 2</t>
        </is>
      </c>
      <c r="E37" s="10" t="inlineStr">
        <is>
          <t>Bloco provisório (cinza)</t>
        </is>
      </c>
      <c r="F37" s="10" t="inlineStr">
        <is>
          <t>Mesa do Diretor, arquivos de fichas, pilhas de fichas.</t>
        </is>
      </c>
      <c r="G37" s="10" t="inlineStr">
        <is>
          <t>PSD em camadas no padrão dos cenários da equipe (fundo, chão, móveis soltos e da frente em camadas separadas), mesma proporção e estilo do corredor.psd</t>
        </is>
      </c>
      <c r="H37" s="10" t="inlineStr">
        <is>
          <t>2 – Arco 2</t>
        </is>
      </c>
      <c r="I37" s="11" t="inlineStr"/>
      <c r="J37" s="11" t="inlineStr">
        <is>
          <t>A fazer</t>
        </is>
      </c>
      <c r="K37" s="11" t="inlineStr">
        <is>
          <t>O GDD cita um esboço do escritório já desenhado: conferir se ele existe fora do projeto.</t>
        </is>
      </c>
    </row>
    <row r="38">
      <c r="A38" s="10" t="inlineStr">
        <is>
          <t>CE08</t>
        </is>
      </c>
      <c r="B38" s="10" t="inlineStr">
        <is>
          <t>Cenários</t>
        </is>
      </c>
      <c r="C38" s="10" t="inlineStr">
        <is>
          <t>3º andar: armazém, quarto do Diretor, varanda</t>
        </is>
      </c>
      <c r="D38" s="10" t="inlineStr">
        <is>
          <t>Arco 2</t>
        </is>
      </c>
      <c r="E38" s="10" t="inlineStr">
        <is>
          <t>Sem ilustração</t>
        </is>
      </c>
      <c r="F38" s="10" t="inlineStr">
        <is>
          <t>Um cenário por cômodo, seguindo a planta da equipe.</t>
        </is>
      </c>
      <c r="G38" s="10" t="inlineStr">
        <is>
          <t>PSD em camadas no padrão dos cenários da equipe (fundo, chão, móveis soltos e da frente em camadas separadas), mesma proporção e estilo do corredor.psd</t>
        </is>
      </c>
      <c r="H38" s="10" t="inlineStr">
        <is>
          <t>2 – Arco 2</t>
        </is>
      </c>
      <c r="I38" s="11" t="inlineStr"/>
      <c r="J38" s="11" t="inlineStr">
        <is>
          <t>A fazer</t>
        </is>
      </c>
      <c r="K38" s="11" t="inlineStr">
        <is>
          <t>O 3° andar.psd (corredor do 3º andar) já é arte humana.</t>
        </is>
      </c>
    </row>
    <row r="39">
      <c r="A39" s="10" t="inlineStr">
        <is>
          <t>CE09</t>
        </is>
      </c>
      <c r="B39" s="10" t="inlineStr">
        <is>
          <t>Cenários</t>
        </is>
      </c>
      <c r="C39" s="10" t="inlineStr">
        <is>
          <t>Térreo: sala de aula, igreja, refeitório, cozinha, 2º corredor</t>
        </is>
      </c>
      <c r="D39" s="10" t="inlineStr">
        <is>
          <t>Arco 2</t>
        </is>
      </c>
      <c r="E39" s="10" t="inlineStr">
        <is>
          <t>Sem ilustração</t>
        </is>
      </c>
      <c r="F39" s="10" t="inlineStr">
        <is>
          <t>Um cenário por cômodo, seguindo a planta.</t>
        </is>
      </c>
      <c r="G39" s="10" t="inlineStr">
        <is>
          <t>PSD em camadas no padrão dos cenários da equipe (fundo, chão, móveis soltos e da frente em camadas separadas), mesma proporção e estilo do corredor.psd</t>
        </is>
      </c>
      <c r="H39" s="10" t="inlineStr">
        <is>
          <t>2 – Arco 2</t>
        </is>
      </c>
      <c r="I39" s="11" t="inlineStr"/>
      <c r="J39" s="11" t="inlineStr">
        <is>
          <t>A fazer</t>
        </is>
      </c>
      <c r="K39" s="11" t="inlineStr">
        <is>
          <t>O corredor 2.psd (1º corredor do térreo) já é arte humana.</t>
        </is>
      </c>
    </row>
    <row r="40">
      <c r="A40" s="10" t="inlineStr">
        <is>
          <t>CE10</t>
        </is>
      </c>
      <c r="B40" s="10" t="inlineStr">
        <is>
          <t>Cenários</t>
        </is>
      </c>
      <c r="C40" s="10" t="inlineStr">
        <is>
          <t>Sótão (depósito)</t>
        </is>
      </c>
      <c r="D40" s="10" t="inlineStr">
        <is>
          <t>Arco 2 (caderno da Amelie)</t>
        </is>
      </c>
      <c r="E40" s="10" t="inlineStr">
        <is>
          <t>Sem ilustração</t>
        </is>
      </c>
      <c r="F40" s="10" t="inlineStr">
        <is>
          <t>Depósito no sótão, lugar que só as irmãs conheciam.</t>
        </is>
      </c>
      <c r="G40" s="10" t="inlineStr">
        <is>
          <t>PSD em camadas no padrão dos cenários da equipe (fundo, chão, móveis soltos e da frente em camadas separadas), mesma proporção e estilo do corredor.psd</t>
        </is>
      </c>
      <c r="H40" s="10" t="inlineStr">
        <is>
          <t>2 – Arco 2</t>
        </is>
      </c>
      <c r="I40" s="11" t="inlineStr"/>
      <c r="J40" s="11" t="inlineStr">
        <is>
          <t>A fazer</t>
        </is>
      </c>
      <c r="K40" s="11" t="inlineStr"/>
    </row>
    <row r="41">
      <c r="A41" s="10" t="inlineStr">
        <is>
          <t>CE11</t>
        </is>
      </c>
      <c r="B41" s="10" t="inlineStr">
        <is>
          <t>Cenários</t>
        </is>
      </c>
      <c r="C41" s="10" t="inlineStr">
        <is>
          <t>Porão: lavanderia</t>
        </is>
      </c>
      <c r="D41" s="10" t="inlineStr">
        <is>
          <t>Arco 3</t>
        </is>
      </c>
      <c r="E41" s="10" t="inlineStr">
        <is>
          <t>Sem ilustração</t>
        </is>
      </c>
      <c r="F41" s="10" t="inlineStr">
        <is>
          <t>Lavanderia com tanques e varais.</t>
        </is>
      </c>
      <c r="G41" s="10" t="inlineStr">
        <is>
          <t>PSD em camadas no padrão dos cenários da equipe (fundo, chão, móveis soltos e da frente em camadas separadas), mesma proporção e estilo do corredor.psd</t>
        </is>
      </c>
      <c r="H41" s="10" t="inlineStr">
        <is>
          <t>3 – Arco 3 / final</t>
        </is>
      </c>
      <c r="I41" s="11" t="inlineStr"/>
      <c r="J41" s="11" t="inlineStr">
        <is>
          <t>A fazer</t>
        </is>
      </c>
      <c r="K41" s="11" t="inlineStr"/>
    </row>
    <row r="42">
      <c r="A42" s="10" t="inlineStr">
        <is>
          <t>CE12</t>
        </is>
      </c>
      <c r="B42" s="10" t="inlineStr">
        <is>
          <t>Cenários</t>
        </is>
      </c>
      <c r="C42" s="10" t="inlineStr">
        <is>
          <t>O Fundo (e a sala do livro / caldeira)</t>
        </is>
      </c>
      <c r="D42" s="10" t="inlineStr">
        <is>
          <t>Arco 3</t>
        </is>
      </c>
      <c r="E42" s="10" t="inlineStr">
        <is>
          <t>Sem ilustração</t>
        </is>
      </c>
      <c r="F42" s="10" t="inlineStr">
        <is>
          <t>Abaixo do porão; arquitetura sem lógica, lugares da memória da Luma; caldeira com fogo.</t>
        </is>
      </c>
      <c r="G42" s="10" t="inlineStr">
        <is>
          <t>PSD em camadas no padrão dos cenários da equipe (fundo, chão, móveis soltos e da frente em camadas separadas), mesma proporção e estilo do corredor.psd</t>
        </is>
      </c>
      <c r="H42" s="10" t="inlineStr">
        <is>
          <t>3 – Arco 3 / final</t>
        </is>
      </c>
      <c r="I42" s="11" t="inlineStr"/>
      <c r="J42" s="11" t="inlineStr">
        <is>
          <t>A fazer</t>
        </is>
      </c>
      <c r="K42" s="11" t="inlineStr"/>
    </row>
    <row r="43">
      <c r="A43" s="10" t="inlineStr">
        <is>
          <t>CE13</t>
        </is>
      </c>
      <c r="B43" s="10" t="inlineStr">
        <is>
          <t>Cenários</t>
        </is>
      </c>
      <c r="C43" s="10" t="inlineStr">
        <is>
          <t>Memória: noite da chegada</t>
        </is>
      </c>
      <c r="D43" s="10" t="inlineStr">
        <is>
          <t>Fragmentos (Arcos 1–3)</t>
        </is>
      </c>
      <c r="E43" s="10" t="inlineStr">
        <is>
          <t>Sem ilustração</t>
        </is>
      </c>
      <c r="F43" s="10" t="inlineStr">
        <is>
          <t>Portão na chuva, entrada com o Diretor, corredor escuro, mão da Amelie se soltando.</t>
        </is>
      </c>
      <c r="G43" s="10" t="inlineStr">
        <is>
          <t>Ilustrações em camadas (curtas, distorcidas)</t>
        </is>
      </c>
      <c r="H43" s="10" t="inlineStr">
        <is>
          <t>2 – Arco 2</t>
        </is>
      </c>
      <c r="I43" s="11" t="inlineStr"/>
      <c r="J43" s="11" t="inlineStr">
        <is>
          <t>A fazer</t>
        </is>
      </c>
      <c r="K43" s="11" t="inlineStr"/>
    </row>
    <row r="44">
      <c r="A44" s="10" t="inlineStr">
        <is>
          <t>CE14</t>
        </is>
      </c>
      <c r="B44" s="10" t="inlineStr">
        <is>
          <t>Cenários</t>
        </is>
      </c>
      <c r="C44" s="10" t="inlineStr">
        <is>
          <t>Final: dormitório ao amanhecer</t>
        </is>
      </c>
      <c r="D44" s="10" t="inlineStr">
        <is>
          <t>Fim do jogo</t>
        </is>
      </c>
      <c r="E44" s="10" t="inlineStr">
        <is>
          <t>Sem ilustração</t>
        </is>
      </c>
      <c r="F44" s="10" t="inlineStr">
        <is>
          <t>O dormitório 1 com a luz do amanhecer entrando pela janela.</t>
        </is>
      </c>
      <c r="G44" s="10" t="inlineStr">
        <is>
          <t>Variação do quarto.psd (camada de luz)</t>
        </is>
      </c>
      <c r="H44" s="10" t="inlineStr">
        <is>
          <t>3 – Arco 3 / final</t>
        </is>
      </c>
      <c r="I44" s="11" t="inlineStr"/>
      <c r="J44" s="11" t="inlineStr">
        <is>
          <t>A fazer</t>
        </is>
      </c>
      <c r="K44" s="11" t="inlineStr"/>
    </row>
    <row r="45">
      <c r="A45" s="10" t="inlineStr">
        <is>
          <t>OB01</t>
        </is>
      </c>
      <c r="B45" s="10" t="inlineStr">
        <is>
          <t>Objetos e itens</t>
        </is>
      </c>
      <c r="C45" s="10" t="inlineStr">
        <is>
          <t>Urso de pelúcia</t>
        </is>
      </c>
      <c r="D45" s="10" t="inlineStr">
        <is>
          <t>Com a Luma o tempo todo; animações</t>
        </is>
      </c>
      <c r="E45" s="10" t="inlineStr">
        <is>
          <t>Sem ilustração</t>
        </is>
      </c>
      <c r="F45" s="10" t="inlineStr">
        <is>
          <t>O urso da Amelie (gasto, amado). Visto na mão da Luma e sozinho.</t>
        </is>
      </c>
      <c r="G45" s="10" t="inlineStr">
        <is>
          <t>PNG transparente ~512 px</t>
        </is>
      </c>
      <c r="H45" s="10" t="inlineStr">
        <is>
          <t>1 – Demo (Arco 1)</t>
        </is>
      </c>
      <c r="I45" s="11" t="inlineStr"/>
      <c r="J45" s="11" t="inlineStr">
        <is>
          <t>A fazer</t>
        </is>
      </c>
      <c r="K45" s="11" t="inlineStr">
        <is>
          <t>Pode vir junto das animações da Luma.</t>
        </is>
      </c>
    </row>
    <row r="46">
      <c r="A46" s="10" t="inlineStr">
        <is>
          <t>OB02</t>
        </is>
      </c>
      <c r="B46" s="10" t="inlineStr">
        <is>
          <t>Objetos e itens</t>
        </is>
      </c>
      <c r="C46" s="10" t="inlineStr">
        <is>
          <t>Chave da biblioteca</t>
        </is>
      </c>
      <c r="D46" s="10" t="inlineStr">
        <is>
          <t>03_Banheiro (caixa da descarga)</t>
        </is>
      </c>
      <c r="E46" s="10" t="inlineStr">
        <is>
          <t>Sem ilustração</t>
        </is>
      </c>
      <c r="F46" s="10" t="inlineStr">
        <is>
          <t>Chave grande de latão, enrolada num pano, com etiqueta 'BIBLIOTECA'.</t>
        </is>
      </c>
      <c r="G46" s="10" t="inlineStr">
        <is>
          <t>PNG transparente ~512 px</t>
        </is>
      </c>
      <c r="H46" s="10" t="inlineStr">
        <is>
          <t>1 – Demo (Arco 1)</t>
        </is>
      </c>
      <c r="I46" s="11" t="inlineStr"/>
      <c r="J46" s="11" t="inlineStr">
        <is>
          <t>A fazer</t>
        </is>
      </c>
      <c r="K46" s="11" t="inlineStr">
        <is>
          <t>Hoje só aparece um brilho no lugar.</t>
        </is>
      </c>
    </row>
    <row r="47">
      <c r="A47" s="10" t="inlineStr">
        <is>
          <t>OB03</t>
        </is>
      </c>
      <c r="B47" s="10" t="inlineStr">
        <is>
          <t>Objetos e itens</t>
        </is>
      </c>
      <c r="C47" s="10" t="inlineStr">
        <is>
          <t>Fusível</t>
        </is>
      </c>
      <c r="D47" s="10" t="inlineStr">
        <is>
          <t>08_Biblioteca (em cima do armário)</t>
        </is>
      </c>
      <c r="E47" s="10" t="inlineStr">
        <is>
          <t>Sem ilustração</t>
        </is>
      </c>
      <c r="F47" s="10" t="inlineStr">
        <is>
          <t>Fusível antigo de louça.</t>
        </is>
      </c>
      <c r="G47" s="10" t="inlineStr">
        <is>
          <t>PNG transparente ~512 px</t>
        </is>
      </c>
      <c r="H47" s="10" t="inlineStr">
        <is>
          <t>1 – Demo (Arco 1)</t>
        </is>
      </c>
      <c r="I47" s="11" t="inlineStr"/>
      <c r="J47" s="11" t="inlineStr">
        <is>
          <t>A fazer</t>
        </is>
      </c>
      <c r="K47" s="11" t="inlineStr">
        <is>
          <t>Hoje só brilho.</t>
        </is>
      </c>
    </row>
    <row r="48">
      <c r="A48" s="10" t="inlineStr">
        <is>
          <t>OB04</t>
        </is>
      </c>
      <c r="B48" s="10" t="inlineStr">
        <is>
          <t>Objetos e itens</t>
        </is>
      </c>
      <c r="C48" s="10" t="inlineStr">
        <is>
          <t>Caixa de luz (sala de descanso)</t>
        </is>
      </c>
      <c r="D48" s="10" t="inlineStr">
        <is>
          <t>09_LazyRoom</t>
        </is>
      </c>
      <c r="E48" s="10" t="inlineStr">
        <is>
          <t>Bloco provisório (cinza)</t>
        </is>
      </c>
      <c r="F48" s="10" t="inlineStr">
        <is>
          <t>Caixa de luz na parede, aberta e fechada, com e sem fusível.</t>
        </is>
      </c>
      <c r="G48" s="10" t="inlineStr">
        <is>
          <t>PNG transparente ~512 px</t>
        </is>
      </c>
      <c r="H48" s="10" t="inlineStr">
        <is>
          <t>1 – Demo (Arco 1)</t>
        </is>
      </c>
      <c r="I48" s="11" t="inlineStr"/>
      <c r="J48" s="11" t="inlineStr">
        <is>
          <t>A fazer</t>
        </is>
      </c>
      <c r="K48" s="11" t="inlineStr">
        <is>
          <t>A do térreo já está pintada no corredor 2.psd.</t>
        </is>
      </c>
    </row>
    <row r="49">
      <c r="A49" s="10" t="inlineStr">
        <is>
          <t>OB05</t>
        </is>
      </c>
      <c r="B49" s="10" t="inlineStr">
        <is>
          <t>Objetos e itens</t>
        </is>
      </c>
      <c r="C49" s="10" t="inlineStr">
        <is>
          <t>Lâmpada (acesa, apagada, estourada)</t>
        </is>
      </c>
      <c r="D49" s="10" t="inlineStr">
        <is>
          <t>09_LazyRoom</t>
        </is>
      </c>
      <c r="E49" s="10" t="inlineStr">
        <is>
          <t>Sem ilustração</t>
        </is>
      </c>
      <c r="F49" s="10" t="inlineStr">
        <is>
          <t>Lâmpada no teto nos três estados.</t>
        </is>
      </c>
      <c r="G49" s="10" t="inlineStr">
        <is>
          <t>PNG transparente ~512 px</t>
        </is>
      </c>
      <c r="H49" s="10" t="inlineStr">
        <is>
          <t>1 – Demo (Arco 1)</t>
        </is>
      </c>
      <c r="I49" s="11" t="inlineStr"/>
      <c r="J49" s="11" t="inlineStr">
        <is>
          <t>A fazer</t>
        </is>
      </c>
      <c r="K49" s="11" t="inlineStr">
        <is>
          <t>O facho de luz é um efeito do jogo; falta a lâmpada.</t>
        </is>
      </c>
    </row>
    <row r="50">
      <c r="A50" s="10" t="inlineStr">
        <is>
          <t>OB06</t>
        </is>
      </c>
      <c r="B50" s="10" t="inlineStr">
        <is>
          <t>Objetos e itens</t>
        </is>
      </c>
      <c r="C50" s="10" t="inlineStr">
        <is>
          <t>Tigela com a chave do dormitório 2</t>
        </is>
      </c>
      <c r="D50" s="10" t="inlineStr">
        <is>
          <t>09_LazyRoom</t>
        </is>
      </c>
      <c r="E50" s="10" t="inlineStr">
        <is>
          <t>Sem ilustração</t>
        </is>
      </c>
      <c r="F50" s="10" t="inlineStr">
        <is>
          <t>Tigela no ninho, com a chave dentro.</t>
        </is>
      </c>
      <c r="G50" s="10" t="inlineStr">
        <is>
          <t>PNG transparente ~512 px</t>
        </is>
      </c>
      <c r="H50" s="10" t="inlineStr">
        <is>
          <t>1 – Demo (Arco 1)</t>
        </is>
      </c>
      <c r="I50" s="11" t="inlineStr"/>
      <c r="J50" s="11" t="inlineStr">
        <is>
          <t>A fazer</t>
        </is>
      </c>
      <c r="K50" s="11" t="inlineStr"/>
    </row>
    <row r="51">
      <c r="A51" s="10" t="inlineStr">
        <is>
          <t>OB07</t>
        </is>
      </c>
      <c r="B51" s="10" t="inlineStr">
        <is>
          <t>Objetos e itens</t>
        </is>
      </c>
      <c r="C51" s="10" t="inlineStr">
        <is>
          <t>Chave do dormitório 2</t>
        </is>
      </c>
      <c r="D51" s="10" t="inlineStr">
        <is>
          <t>09_LazyRoom</t>
        </is>
      </c>
      <c r="E51" s="10" t="inlineStr">
        <is>
          <t>Sem ilustração</t>
        </is>
      </c>
      <c r="F51" s="10" t="inlineStr">
        <is>
          <t>Chave pequena, com etiqueta.</t>
        </is>
      </c>
      <c r="G51" s="10" t="inlineStr">
        <is>
          <t>PNG transparente ~512 px</t>
        </is>
      </c>
      <c r="H51" s="10" t="inlineStr">
        <is>
          <t>1 – Demo (Arco 1)</t>
        </is>
      </c>
      <c r="I51" s="11" t="inlineStr"/>
      <c r="J51" s="11" t="inlineStr">
        <is>
          <t>A fazer</t>
        </is>
      </c>
      <c r="K51" s="11" t="inlineStr"/>
    </row>
    <row r="52">
      <c r="A52" s="10" t="inlineStr">
        <is>
          <t>OB08</t>
        </is>
      </c>
      <c r="B52" s="10" t="inlineStr">
        <is>
          <t>Objetos e itens</t>
        </is>
      </c>
      <c r="C52" s="10" t="inlineStr">
        <is>
          <t>Chave da sala de estar</t>
        </is>
      </c>
      <c r="D52" s="10" t="inlineStr">
        <is>
          <t>06_Dormitorio2 (cabeceira)</t>
        </is>
      </c>
      <c r="E52" s="10" t="inlineStr">
        <is>
          <t>Sem ilustração</t>
        </is>
      </c>
      <c r="F52" s="10" t="inlineStr">
        <is>
          <t>Chave com etiqueta 'SALA DE ESTAR'.</t>
        </is>
      </c>
      <c r="G52" s="10" t="inlineStr">
        <is>
          <t>PNG transparente ~512 px</t>
        </is>
      </c>
      <c r="H52" s="10" t="inlineStr">
        <is>
          <t>1 – Demo (Arco 1)</t>
        </is>
      </c>
      <c r="I52" s="11" t="inlineStr"/>
      <c r="J52" s="11" t="inlineStr">
        <is>
          <t>A fazer</t>
        </is>
      </c>
      <c r="K52" s="11" t="inlineStr"/>
    </row>
    <row r="53">
      <c r="A53" s="10" t="inlineStr">
        <is>
          <t>OB09</t>
        </is>
      </c>
      <c r="B53" s="10" t="inlineStr">
        <is>
          <t>Objetos e itens</t>
        </is>
      </c>
      <c r="C53" s="10" t="inlineStr">
        <is>
          <t>Livro que cai</t>
        </is>
      </c>
      <c r="D53" s="10" t="inlineStr">
        <is>
          <t>08_Biblioteca</t>
        </is>
      </c>
      <c r="E53" s="10" t="inlineStr">
        <is>
          <t>Bloco provisório (cinza)</t>
        </is>
      </c>
      <c r="F53" s="10" t="inlineStr">
        <is>
          <t>Livro caindo da estante (susto).</t>
        </is>
      </c>
      <c r="G53" s="10" t="inlineStr">
        <is>
          <t>PNG transparente ~512 px</t>
        </is>
      </c>
      <c r="H53" s="10" t="inlineStr">
        <is>
          <t>1 – Demo (Arco 1)</t>
        </is>
      </c>
      <c r="I53" s="11" t="inlineStr"/>
      <c r="J53" s="11" t="inlineStr">
        <is>
          <t>A fazer</t>
        </is>
      </c>
      <c r="K53" s="11" t="inlineStr">
        <is>
          <t>Hoje: bloco vermelho.</t>
        </is>
      </c>
    </row>
    <row r="54">
      <c r="A54" s="10" t="inlineStr">
        <is>
          <t>OB10</t>
        </is>
      </c>
      <c r="B54" s="10" t="inlineStr">
        <is>
          <t>Objetos e itens</t>
        </is>
      </c>
      <c r="C54" s="10" t="inlineStr">
        <is>
          <t>Copo de leite intocado</t>
        </is>
      </c>
      <c r="D54" s="10" t="inlineStr">
        <is>
          <t>01_Dormitorio1 (criado-mudo, despertar)</t>
        </is>
      </c>
      <c r="E54" s="10" t="inlineStr">
        <is>
          <t>Sem ilustração</t>
        </is>
      </c>
      <c r="F54" s="10" t="inlineStr">
        <is>
          <t>Copo de leite morno sobre o criado-mudo.</t>
        </is>
      </c>
      <c r="G54" s="10" t="inlineStr">
        <is>
          <t>PNG transparente ~512 px</t>
        </is>
      </c>
      <c r="H54" s="10" t="inlineStr">
        <is>
          <t>1 – Demo (Arco 1)</t>
        </is>
      </c>
      <c r="I54" s="11" t="inlineStr"/>
      <c r="J54" s="11" t="inlineStr">
        <is>
          <t>A fazer</t>
        </is>
      </c>
      <c r="K54" s="11" t="inlineStr">
        <is>
          <t>Conferir se já está pintado no quarto.psd.</t>
        </is>
      </c>
    </row>
    <row r="55">
      <c r="A55" s="10" t="inlineStr">
        <is>
          <t>OB11</t>
        </is>
      </c>
      <c r="B55" s="10" t="inlineStr">
        <is>
          <t>Objetos e itens</t>
        </is>
      </c>
      <c r="C55" s="10" t="inlineStr">
        <is>
          <t>Fusível do térreo</t>
        </is>
      </c>
      <c r="D55" s="10" t="inlineStr">
        <is>
          <t>04_Corredor2</t>
        </is>
      </c>
      <c r="E55" s="10" t="inlineStr">
        <is>
          <t>Sem ilustração</t>
        </is>
      </c>
      <c r="F55" s="10" t="inlineStr">
        <is>
          <t>Fusível (pode ser o mesmo desenho do outro).</t>
        </is>
      </c>
      <c r="G55" s="10" t="inlineStr">
        <is>
          <t>PNG transparente ~512 px</t>
        </is>
      </c>
      <c r="H55" s="10" t="inlineStr">
        <is>
          <t>2 – Arco 2</t>
        </is>
      </c>
      <c r="I55" s="11" t="inlineStr"/>
      <c r="J55" s="11" t="inlineStr">
        <is>
          <t>A fazer</t>
        </is>
      </c>
      <c r="K55" s="11" t="inlineStr"/>
    </row>
    <row r="56">
      <c r="A56" s="10" t="inlineStr">
        <is>
          <t>OB12</t>
        </is>
      </c>
      <c r="B56" s="10" t="inlineStr">
        <is>
          <t>Objetos e itens</t>
        </is>
      </c>
      <c r="C56" s="10" t="inlineStr">
        <is>
          <t>Copo de leite escondido + bilhete 'Não beba'</t>
        </is>
      </c>
      <c r="D56" s="10" t="inlineStr">
        <is>
          <t>Arco 2</t>
        </is>
      </c>
      <c r="E56" s="10" t="inlineStr">
        <is>
          <t>Sem ilustração</t>
        </is>
      </c>
      <c r="F56" s="10" t="inlineStr">
        <is>
          <t>Copo intocado escondido, com bilhete marcado pelo sol.</t>
        </is>
      </c>
      <c r="G56" s="10" t="inlineStr">
        <is>
          <t>PNG transparente ~512 px</t>
        </is>
      </c>
      <c r="H56" s="10" t="inlineStr">
        <is>
          <t>2 – Arco 2</t>
        </is>
      </c>
      <c r="I56" s="11" t="inlineStr"/>
      <c r="J56" s="11" t="inlineStr">
        <is>
          <t>A fazer</t>
        </is>
      </c>
      <c r="K56" s="11" t="inlineStr"/>
    </row>
    <row r="57">
      <c r="A57" s="10" t="inlineStr">
        <is>
          <t>OB13</t>
        </is>
      </c>
      <c r="B57" s="10" t="inlineStr">
        <is>
          <t>Objetos e itens</t>
        </is>
      </c>
      <c r="C57" s="10" t="inlineStr">
        <is>
          <t>Caderno da Amelie</t>
        </is>
      </c>
      <c r="D57" s="10" t="inlineStr">
        <is>
          <t>Sótão (fim do Arco 2)</t>
        </is>
      </c>
      <c r="E57" s="10" t="inlineStr">
        <is>
          <t>Sem ilustração</t>
        </is>
      </c>
      <c r="F57" s="10" t="inlineStr">
        <is>
          <t>Caderno com anotações, desenhos dos Adultos e o plano dela.</t>
        </is>
      </c>
      <c r="G57" s="10" t="inlineStr">
        <is>
          <t>PNG transparente ~512 px + páginas internas</t>
        </is>
      </c>
      <c r="H57" s="10" t="inlineStr">
        <is>
          <t>2 – Arco 2</t>
        </is>
      </c>
      <c r="I57" s="11" t="inlineStr"/>
      <c r="J57" s="11" t="inlineStr">
        <is>
          <t>A fazer</t>
        </is>
      </c>
      <c r="K57" s="11" t="inlineStr"/>
    </row>
    <row r="58">
      <c r="A58" s="10" t="inlineStr">
        <is>
          <t>OB14</t>
        </is>
      </c>
      <c r="B58" s="10" t="inlineStr">
        <is>
          <t>Objetos e itens</t>
        </is>
      </c>
      <c r="C58" s="10" t="inlineStr">
        <is>
          <t>Livro de registros original + página arrancada</t>
        </is>
      </c>
      <c r="D58" s="10" t="inlineStr">
        <is>
          <t>Arco 3 (o Fundo)</t>
        </is>
      </c>
      <c r="E58" s="10" t="inlineStr">
        <is>
          <t>Sem ilustração</t>
        </is>
      </c>
      <c r="F58" s="10" t="inlineStr">
        <is>
          <t>Livro enorme; página com o nome da Luma; verso com a última mensagem (com o sol).</t>
        </is>
      </c>
      <c r="G58" s="10" t="inlineStr">
        <is>
          <t>PNG transparente ~512 px</t>
        </is>
      </c>
      <c r="H58" s="10" t="inlineStr">
        <is>
          <t>3 – Arco 3 / final</t>
        </is>
      </c>
      <c r="I58" s="11" t="inlineStr"/>
      <c r="J58" s="11" t="inlineStr">
        <is>
          <t>A fazer</t>
        </is>
      </c>
      <c r="K58" s="11" t="inlineStr"/>
    </row>
    <row r="59">
      <c r="A59" s="10" t="inlineStr">
        <is>
          <t>OB15</t>
        </is>
      </c>
      <c r="B59" s="10" t="inlineStr">
        <is>
          <t>Objetos e itens</t>
        </is>
      </c>
      <c r="C59" s="10" t="inlineStr">
        <is>
          <t>Objetos das crianças levadas</t>
        </is>
      </c>
      <c r="D59" s="10" t="inlineStr">
        <is>
          <t>Arco 3 (o Fundo)</t>
        </is>
      </c>
      <c r="E59" s="10" t="inlineStr">
        <is>
          <t>Sem ilustração</t>
        </is>
      </c>
      <c r="F59" s="10" t="inlineStr">
        <is>
          <t>Sapatos, desenhos, ursos e bonecas guardados como coleção.</t>
        </is>
      </c>
      <c r="G59" s="10" t="inlineStr">
        <is>
          <t>PNG transparente ~512 px</t>
        </is>
      </c>
      <c r="H59" s="10" t="inlineStr">
        <is>
          <t>3 – Arco 3 / final</t>
        </is>
      </c>
      <c r="I59" s="11" t="inlineStr"/>
      <c r="J59" s="11" t="inlineStr">
        <is>
          <t>A fazer</t>
        </is>
      </c>
      <c r="K59" s="11" t="inlineStr"/>
    </row>
    <row r="60">
      <c r="A60" s="10" t="inlineStr">
        <is>
          <t>PI01</t>
        </is>
      </c>
      <c r="B60" s="10" t="inlineStr">
        <is>
          <t>Pistas (tela de leitura)</t>
        </is>
      </c>
      <c r="C60" s="10" t="inlineStr">
        <is>
          <t>P01 — Desenho debaixo do travesseiro</t>
        </is>
      </c>
      <c r="D60" s="10" t="inlineStr">
        <is>
          <t>01_Dormitorio1</t>
        </is>
      </c>
      <c r="E60" s="10" t="inlineStr">
        <is>
          <t>Sem ilustração</t>
        </is>
      </c>
      <c r="F60" s="10" t="inlineStr">
        <is>
          <t>Duas meninas de mãos dadas em giz de cera; pequeno sol no canto.</t>
        </is>
      </c>
      <c r="G60" s="10" t="inlineStr">
        <is>
          <t>PNG ~840×600 px (a tela de pista mostra em 420×300)</t>
        </is>
      </c>
      <c r="H60" s="10" t="inlineStr">
        <is>
          <t>1 – Demo (Arco 1)</t>
        </is>
      </c>
      <c r="I60" s="11" t="inlineStr"/>
      <c r="J60" s="11" t="inlineStr">
        <is>
          <t>A fazer</t>
        </is>
      </c>
      <c r="K60" s="11" t="inlineStr">
        <is>
          <t>Pista verdadeira: TEM o sol. O texto já está no jogo; falta a imagem.</t>
        </is>
      </c>
    </row>
    <row r="61">
      <c r="A61" s="10" t="inlineStr">
        <is>
          <t>PI02</t>
        </is>
      </c>
      <c r="B61" s="10" t="inlineStr">
        <is>
          <t>Pistas (tela de leitura)</t>
        </is>
      </c>
      <c r="C61" s="10" t="inlineStr">
        <is>
          <t>P02 — Papel na caixinha de madeira</t>
        </is>
      </c>
      <c r="D61" s="10" t="inlineStr">
        <is>
          <t>02_Corredor1 (mesa)</t>
        </is>
      </c>
      <c r="E61" s="10" t="inlineStr">
        <is>
          <t>Sem ilustração</t>
        </is>
      </c>
      <c r="F61" s="10" t="inlineStr">
        <is>
          <t>Papel dobrado: 'Se as luzes apagarem, fique perto delas. Ela não entra onde tem luz.' + sol.</t>
        </is>
      </c>
      <c r="G61" s="10" t="inlineStr">
        <is>
          <t>PNG ~840×600 px (a tela de pista mostra em 420×300)</t>
        </is>
      </c>
      <c r="H61" s="10" t="inlineStr">
        <is>
          <t>1 – Demo (Arco 1)</t>
        </is>
      </c>
      <c r="I61" s="11" t="inlineStr"/>
      <c r="J61" s="11" t="inlineStr">
        <is>
          <t>A fazer</t>
        </is>
      </c>
      <c r="K61" s="11" t="inlineStr">
        <is>
          <t>Verdadeira (sol).</t>
        </is>
      </c>
    </row>
    <row r="62">
      <c r="A62" s="10" t="inlineStr">
        <is>
          <t>PI03</t>
        </is>
      </c>
      <c r="B62" s="10" t="inlineStr">
        <is>
          <t>Pistas (tela de leitura)</t>
        </is>
      </c>
      <c r="C62" s="10" t="inlineStr">
        <is>
          <t>P03 — Letras no vapor do espelho</t>
        </is>
      </c>
      <c r="D62" s="10" t="inlineStr">
        <is>
          <t>03_Banheiro</t>
        </is>
      </c>
      <c r="E62" s="10" t="inlineStr">
        <is>
          <t>Sem ilustração</t>
        </is>
      </c>
      <c r="F62" s="10" t="inlineStr">
        <is>
          <t>'NÃO BEBA O LEITE' escrito com o dedo no vapor; sol quase apagado.</t>
        </is>
      </c>
      <c r="G62" s="10" t="inlineStr">
        <is>
          <t>PNG ~840×600 px (a tela de pista mostra em 420×300)</t>
        </is>
      </c>
      <c r="H62" s="10" t="inlineStr">
        <is>
          <t>1 – Demo (Arco 1)</t>
        </is>
      </c>
      <c r="I62" s="11" t="inlineStr"/>
      <c r="J62" s="11" t="inlineStr">
        <is>
          <t>A fazer</t>
        </is>
      </c>
      <c r="K62" s="11" t="inlineStr">
        <is>
          <t>Verdadeira (sol).</t>
        </is>
      </c>
    </row>
    <row r="63">
      <c r="A63" s="10" t="inlineStr">
        <is>
          <t>PI04</t>
        </is>
      </c>
      <c r="B63" s="10" t="inlineStr">
        <is>
          <t>Pistas (tela de leitura)</t>
        </is>
      </c>
      <c r="C63" s="10" t="inlineStr">
        <is>
          <t>P04 — Nomes riscados na cabeceira</t>
        </is>
      </c>
      <c r="D63" s="10" t="inlineStr">
        <is>
          <t>06_Dormitorio2</t>
        </is>
      </c>
      <c r="E63" s="10" t="inlineStr">
        <is>
          <t>Sem ilustração</t>
        </is>
      </c>
      <c r="F63" s="10" t="inlineStr">
        <is>
          <t>Nomes de crianças com X na madeira; embaixo, na letra da Amelie: 'Se eu sumir, NÃO me procure lá embaixo. Fique na luz.' + sol.</t>
        </is>
      </c>
      <c r="G63" s="10" t="inlineStr">
        <is>
          <t>PNG ~840×600 px (a tela de pista mostra em 420×300)</t>
        </is>
      </c>
      <c r="H63" s="10" t="inlineStr">
        <is>
          <t>1 – Demo (Arco 1)</t>
        </is>
      </c>
      <c r="I63" s="11" t="inlineStr"/>
      <c r="J63" s="11" t="inlineStr">
        <is>
          <t>A fazer</t>
        </is>
      </c>
      <c r="K63" s="11" t="inlineStr">
        <is>
          <t>Verdadeira (sol).</t>
        </is>
      </c>
    </row>
    <row r="64">
      <c r="A64" s="10" t="inlineStr">
        <is>
          <t>PI05</t>
        </is>
      </c>
      <c r="B64" s="10" t="inlineStr">
        <is>
          <t>Pistas (tela de leitura)</t>
        </is>
      </c>
      <c r="C64" s="10" t="inlineStr">
        <is>
          <t>P07 — Livro de contos 'A menina e o sol'</t>
        </is>
      </c>
      <c r="D64" s="10" t="inlineStr">
        <is>
          <t>08_Biblioteca</t>
        </is>
      </c>
      <c r="E64" s="10" t="inlineStr">
        <is>
          <t>Sem ilustração</t>
        </is>
      </c>
      <c r="F64" s="10" t="inlineStr">
        <is>
          <t>Livro aberto com anotações da Amelie nas margens + sol.</t>
        </is>
      </c>
      <c r="G64" s="10" t="inlineStr">
        <is>
          <t>PNG ~840×600 px (a tela de pista mostra em 420×300)</t>
        </is>
      </c>
      <c r="H64" s="10" t="inlineStr">
        <is>
          <t>1 – Demo (Arco 1)</t>
        </is>
      </c>
      <c r="I64" s="11" t="inlineStr"/>
      <c r="J64" s="11" t="inlineStr">
        <is>
          <t>A fazer</t>
        </is>
      </c>
      <c r="K64" s="11" t="inlineStr">
        <is>
          <t>Verdadeira (sol).</t>
        </is>
      </c>
    </row>
    <row r="65">
      <c r="A65" s="10" t="inlineStr">
        <is>
          <t>PI06</t>
        </is>
      </c>
      <c r="B65" s="10" t="inlineStr">
        <is>
          <t>Pistas (tela de leitura)</t>
        </is>
      </c>
      <c r="C65" s="10" t="inlineStr">
        <is>
          <t>F01 — Bilhete falso na lareira</t>
        </is>
      </c>
      <c r="D65" s="10" t="inlineStr">
        <is>
          <t>10_LivingRoom</t>
        </is>
      </c>
      <c r="E65" s="10" t="inlineStr">
        <is>
          <t>Sem ilustração</t>
        </is>
      </c>
      <c r="F65" s="10" t="inlineStr">
        <is>
          <t>Bilhete na letra da Amelie: 'Luma, estou te esperando lá embaixo...' — SEM o sol.</t>
        </is>
      </c>
      <c r="G65" s="10" t="inlineStr">
        <is>
          <t>PNG ~840×600 px (a tela de pista mostra em 420×300)</t>
        </is>
      </c>
      <c r="H65" s="10" t="inlineStr">
        <is>
          <t>1 – Demo (Arco 1)</t>
        </is>
      </c>
      <c r="I65" s="11" t="inlineStr"/>
      <c r="J65" s="11" t="inlineStr">
        <is>
          <t>A fazer</t>
        </is>
      </c>
      <c r="K65" s="11" t="inlineStr">
        <is>
          <t>Falsa (forjada pelo Diretor): NUNCA tem o sol.</t>
        </is>
      </c>
    </row>
    <row r="66">
      <c r="A66" s="10" t="inlineStr">
        <is>
          <t>PI07</t>
        </is>
      </c>
      <c r="B66" s="10" t="inlineStr">
        <is>
          <t>Pistas (tela de leitura)</t>
        </is>
      </c>
      <c r="C66" s="10" t="inlineStr">
        <is>
          <t>P05 — Ficha 0417 (Luma)</t>
        </is>
      </c>
      <c r="D66" s="10" t="inlineStr">
        <is>
          <t>07_Escritorio</t>
        </is>
      </c>
      <c r="E66" s="10" t="inlineStr">
        <is>
          <t>Sem ilustração</t>
        </is>
      </c>
      <c r="F66" s="10" t="inlineStr">
        <is>
          <t>Ficha do orfanato; carimbo preto raspado e refeito várias vezes.</t>
        </is>
      </c>
      <c r="G66" s="10" t="inlineStr">
        <is>
          <t>PNG ~840×600 px (a tela de pista mostra em 420×300)</t>
        </is>
      </c>
      <c r="H66" s="10" t="inlineStr">
        <is>
          <t>2 – Arco 2</t>
        </is>
      </c>
      <c r="I66" s="11" t="inlineStr"/>
      <c r="J66" s="11" t="inlineStr">
        <is>
          <t>A fazer</t>
        </is>
      </c>
      <c r="K66" s="11" t="inlineStr"/>
    </row>
    <row r="67">
      <c r="A67" s="10" t="inlineStr">
        <is>
          <t>PI08</t>
        </is>
      </c>
      <c r="B67" s="10" t="inlineStr">
        <is>
          <t>Pistas (tela de leitura)</t>
        </is>
      </c>
      <c r="C67" s="10" t="inlineStr">
        <is>
          <t>P06 — Ficha 0416 (Amelie)</t>
        </is>
      </c>
      <c r="D67" s="10" t="inlineStr">
        <is>
          <t>07_Escritorio</t>
        </is>
      </c>
      <c r="E67" s="10" t="inlineStr">
        <is>
          <t>Sem ilustração</t>
        </is>
      </c>
      <c r="F67" s="10" t="inlineStr">
        <is>
          <t>Ficha 'TRANSFERIDA' com carimbo preto novo, borrado.</t>
        </is>
      </c>
      <c r="G67" s="10" t="inlineStr">
        <is>
          <t>PNG ~840×600 px (a tela de pista mostra em 420×300)</t>
        </is>
      </c>
      <c r="H67" s="10" t="inlineStr">
        <is>
          <t>2 – Arco 2</t>
        </is>
      </c>
      <c r="I67" s="11" t="inlineStr"/>
      <c r="J67" s="11" t="inlineStr">
        <is>
          <t>A fazer</t>
        </is>
      </c>
      <c r="K67" s="11" t="inlineStr"/>
    </row>
    <row r="68">
      <c r="A68" s="10" t="inlineStr">
        <is>
          <t>PI09</t>
        </is>
      </c>
      <c r="B68" s="10" t="inlineStr">
        <is>
          <t>Pistas (tela de leitura)</t>
        </is>
      </c>
      <c r="C68" s="10" t="inlineStr">
        <is>
          <t>Pistas do Arco 2 (desenhos e mensagens)</t>
        </is>
      </c>
      <c r="D68" s="10" t="inlineStr">
        <is>
          <t>Arco 2</t>
        </is>
      </c>
      <c r="E68" s="10" t="inlineStr">
        <is>
          <t>Sem ilustração</t>
        </is>
      </c>
      <c r="F68" s="10" t="inlineStr">
        <is>
          <t>Desenhos infantis dos Adultos com rostos não humanos; as duas mensagens contraditórias (uma com sol, uma sem).</t>
        </is>
      </c>
      <c r="G68" s="10" t="inlineStr">
        <is>
          <t>PNG ~840×600 px (a tela de pista mostra em 420×300)</t>
        </is>
      </c>
      <c r="H68" s="10" t="inlineStr">
        <is>
          <t>2 – Arco 2</t>
        </is>
      </c>
      <c r="I68" s="11" t="inlineStr"/>
      <c r="J68" s="11" t="inlineStr">
        <is>
          <t>A fazer</t>
        </is>
      </c>
      <c r="K68" s="11" t="inlineStr"/>
    </row>
    <row r="69">
      <c r="A69" s="10" t="inlineStr">
        <is>
          <t>UI01</t>
        </is>
      </c>
      <c r="B69" s="10" t="inlineStr">
        <is>
          <t>Interface</t>
        </is>
      </c>
      <c r="C69" s="10" t="inlineStr">
        <is>
          <t>Sol da Amelie (ícone)</t>
        </is>
      </c>
      <c r="D69" s="10" t="inlineStr">
        <is>
          <t>Tela de pista (canto inferior direito)</t>
        </is>
      </c>
      <c r="E69" s="10" t="inlineStr">
        <is>
          <t>Sem ilustração</t>
        </is>
      </c>
      <c r="F69" s="10" t="inlineStr">
        <is>
          <t>O pequeno sol desenhado pela Amelie, no traço dela.</t>
        </is>
      </c>
      <c r="G69" s="10" t="inlineStr">
        <is>
          <t>PNG transparente 96×96</t>
        </is>
      </c>
      <c r="H69" s="10" t="inlineStr">
        <is>
          <t>1 – Demo (Arco 1)</t>
        </is>
      </c>
      <c r="I69" s="11" t="inlineStr"/>
      <c r="J69" s="11" t="inlineStr">
        <is>
          <t>A fazer</t>
        </is>
      </c>
      <c r="K69" s="11" t="inlineStr">
        <is>
          <t>Hoje é um quadrado amarelo.</t>
        </is>
      </c>
    </row>
    <row r="70">
      <c r="A70" s="10" t="inlineStr">
        <is>
          <t>UI02</t>
        </is>
      </c>
      <c r="B70" s="10" t="inlineStr">
        <is>
          <t>Interface</t>
        </is>
      </c>
      <c r="C70" s="10" t="inlineStr">
        <is>
          <t>Logo / título 'Umbra'</t>
        </is>
      </c>
      <c r="D70" s="10" t="inlineStr">
        <is>
          <t>00_Menu</t>
        </is>
      </c>
      <c r="E70" s="10" t="inlineStr">
        <is>
          <t>Sem ilustração</t>
        </is>
      </c>
      <c r="F70" s="10" t="inlineStr">
        <is>
          <t>Título do jogo desenhado à mão.</t>
        </is>
      </c>
      <c r="G70" s="10" t="inlineStr">
        <is>
          <t>PNG transparente ~1600 px de largura</t>
        </is>
      </c>
      <c r="H70" s="10" t="inlineStr">
        <is>
          <t>1 – Demo (Arco 1)</t>
        </is>
      </c>
      <c r="I70" s="11" t="inlineStr"/>
      <c r="J70" s="11" t="inlineStr">
        <is>
          <t>A fazer</t>
        </is>
      </c>
      <c r="K70" s="11" t="inlineStr">
        <is>
          <t>Hoje é texto de fonte comum. O fundo do menu (quarto.psd) já é arte humana.</t>
        </is>
      </c>
    </row>
    <row r="71">
      <c r="A71" s="10" t="inlineStr">
        <is>
          <t>UI03</t>
        </is>
      </c>
      <c r="B71" s="10" t="inlineStr">
        <is>
          <t>Interface</t>
        </is>
      </c>
      <c r="C71" s="10" t="inlineStr">
        <is>
          <t>Brilho dos objetos interativos</t>
        </is>
      </c>
      <c r="D71" s="10" t="inlineStr">
        <is>
          <t>Itens e pistas (brilho pulsando)</t>
        </is>
      </c>
      <c r="E71" s="10" t="inlineStr">
        <is>
          <t>Placeholder de cor</t>
        </is>
      </c>
      <c r="F71" s="10" t="inlineStr">
        <is>
          <t>Brilho suave e orgânico (pontos de poeira/luz).</t>
        </is>
      </c>
      <c r="G71" s="10" t="inlineStr">
        <is>
          <t>PNG transparente 256×256</t>
        </is>
      </c>
      <c r="H71" s="10" t="inlineStr">
        <is>
          <t>1 – Demo (Arco 1)</t>
        </is>
      </c>
      <c r="I71" s="11" t="inlineStr"/>
      <c r="J71" s="11" t="inlineStr">
        <is>
          <t>A fazer</t>
        </is>
      </c>
      <c r="K71" s="11" t="inlineStr">
        <is>
          <t>Hoje: Assets/Sprites/UI/Brilho.png, sprite provisório de origem não confirmada; tratar como a refazer.</t>
        </is>
      </c>
    </row>
    <row r="72">
      <c r="A72" s="10" t="inlineStr">
        <is>
          <t>UI04</t>
        </is>
      </c>
      <c r="B72" s="10" t="inlineStr">
        <is>
          <t>Interface</t>
        </is>
      </c>
      <c r="C72" s="10" t="inlineStr">
        <is>
          <t>Ícone do jogo (executável)</t>
        </is>
      </c>
      <c r="D72" s="10" t="inlineStr">
        <is>
          <t>Windows / loja</t>
        </is>
      </c>
      <c r="E72" s="10" t="inlineStr">
        <is>
          <t>Sem ilustração</t>
        </is>
      </c>
      <c r="F72" s="10" t="inlineStr">
        <is>
          <t>Ícone do Umbra.</t>
        </is>
      </c>
      <c r="G72" s="10" t="inlineStr">
        <is>
          <t>PNG 1024×1024</t>
        </is>
      </c>
      <c r="H72" s="10" t="inlineStr">
        <is>
          <t>2 – Arco 2</t>
        </is>
      </c>
      <c r="I72" s="11" t="inlineStr"/>
      <c r="J72" s="11" t="inlineStr">
        <is>
          <t>A fazer</t>
        </is>
      </c>
      <c r="K72" s="11" t="inlineStr"/>
    </row>
  </sheetData>
  <autoFilter ref="A1:K72"/>
  <conditionalFormatting sqref="E2:E72">
    <cfRule type="expression" priority="1" dxfId="0">
      <formula>$E2="Ilustração de IA — refazer"</formula>
    </cfRule>
    <cfRule type="expression" priority="2" dxfId="1">
      <formula>$E2="Bloco provisório (cinza)"</formula>
    </cfRule>
    <cfRule type="expression" priority="3" dxfId="2">
      <formula>$E2="Placeholder de cor"</formula>
    </cfRule>
    <cfRule type="expression" priority="4" dxfId="3">
      <formula>$E2="Sem ilustração"</formula>
    </cfRule>
    <cfRule type="expression" priority="5" dxfId="4">
      <formula>$E2="Arte humana parcial"</formula>
    </cfRule>
  </conditionalFormatting>
  <conditionalFormatting sqref="J2:J72">
    <cfRule type="expression" priority="6" dxfId="5">
      <formula>$J2="Pronto"</formula>
    </cfRule>
    <cfRule type="expression" priority="7" dxfId="6">
      <formula>$J2="Em andamento"</formula>
    </cfRule>
    <cfRule type="expression" priority="8" dxfId="7">
      <formula>$J2="Em revisão"</formula>
    </cfRule>
  </conditionalFormatting>
  <dataValidations count="2">
    <dataValidation sqref="J2:J72" showDropDown="0" showInputMessage="0" showErrorMessage="0" allowBlank="1" type="list">
      <formula1>"A fazer,Em andamento,Em revisão,Pronto"</formula1>
    </dataValidation>
    <dataValidation sqref="H2:H72" showDropDown="0" showInputMessage="0" showErrorMessage="0" allowBlank="1" type="list">
      <formula1>"1 – Demo (Arco 1),2 – Arco 2,3 – Arco 3 / final"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2" t="inlineStr">
        <is>
          <t>Ilustrações do Umbra — resumo</t>
        </is>
      </c>
    </row>
    <row r="2">
      <c r="A2" s="13" t="inlineStr">
        <is>
          <t>Atualiza sozinho quando a coluna Status da aba Ilustrações muda.</t>
        </is>
      </c>
    </row>
    <row r="4">
      <c r="A4" s="14" t="inlineStr">
        <is>
          <t>Por categoria</t>
        </is>
      </c>
      <c r="B4" s="15" t="inlineStr">
        <is>
          <t>Total</t>
        </is>
      </c>
      <c r="C4" s="15" t="inlineStr">
        <is>
          <t>A fazer</t>
        </is>
      </c>
      <c r="D4" s="15" t="inlineStr">
        <is>
          <t>Em andamento</t>
        </is>
      </c>
      <c r="E4" s="15" t="inlineStr">
        <is>
          <t>Em revisão</t>
        </is>
      </c>
      <c r="F4" s="15" t="inlineStr">
        <is>
          <t>Pronto</t>
        </is>
      </c>
      <c r="G4" s="15" t="inlineStr">
        <is>
          <t>% pronto</t>
        </is>
      </c>
    </row>
    <row r="5">
      <c r="A5" s="16" t="inlineStr">
        <is>
          <t>Criaturas</t>
        </is>
      </c>
      <c r="B5" s="16">
        <f>COUNTIF('Ilustrações'!$B$2:$B$72,$A5)</f>
        <v/>
      </c>
      <c r="C5" s="16">
        <f>COUNTIFS('Ilustrações'!$B$2:$B$72,$A5,'Ilustrações'!$J$2:$J$72,"A fazer")</f>
        <v/>
      </c>
      <c r="D5" s="16">
        <f>COUNTIFS('Ilustrações'!$B$2:$B$72,$A5,'Ilustrações'!$J$2:$J$72,"Em andamento")</f>
        <v/>
      </c>
      <c r="E5" s="16">
        <f>COUNTIFS('Ilustrações'!$B$2:$B$72,$A5,'Ilustrações'!$J$2:$J$72,"Em revisão")</f>
        <v/>
      </c>
      <c r="F5" s="16">
        <f>COUNTIFS('Ilustrações'!$B$2:$B$72,$A5,'Ilustrações'!$J$2:$J$72,"Pronto")</f>
        <v/>
      </c>
      <c r="G5" s="17">
        <f>IF(B5=0,0,F5/B5)</f>
        <v/>
      </c>
    </row>
    <row r="6">
      <c r="A6" s="16" t="inlineStr">
        <is>
          <t>Personagens</t>
        </is>
      </c>
      <c r="B6" s="16">
        <f>COUNTIF('Ilustrações'!$B$2:$B$72,$A6)</f>
        <v/>
      </c>
      <c r="C6" s="16">
        <f>COUNTIFS('Ilustrações'!$B$2:$B$72,$A6,'Ilustrações'!$J$2:$J$72,"A fazer")</f>
        <v/>
      </c>
      <c r="D6" s="16">
        <f>COUNTIFS('Ilustrações'!$B$2:$B$72,$A6,'Ilustrações'!$J$2:$J$72,"Em andamento")</f>
        <v/>
      </c>
      <c r="E6" s="16">
        <f>COUNTIFS('Ilustrações'!$B$2:$B$72,$A6,'Ilustrações'!$J$2:$J$72,"Em revisão")</f>
        <v/>
      </c>
      <c r="F6" s="16">
        <f>COUNTIFS('Ilustrações'!$B$2:$B$72,$A6,'Ilustrações'!$J$2:$J$72,"Pronto")</f>
        <v/>
      </c>
      <c r="G6" s="17">
        <f>IF(B6=0,0,F6/B6)</f>
        <v/>
      </c>
    </row>
    <row r="7">
      <c r="A7" s="16" t="inlineStr">
        <is>
          <t>Luma (animações)</t>
        </is>
      </c>
      <c r="B7" s="16">
        <f>COUNTIF('Ilustrações'!$B$2:$B$72,$A7)</f>
        <v/>
      </c>
      <c r="C7" s="16">
        <f>COUNTIFS('Ilustrações'!$B$2:$B$72,$A7,'Ilustrações'!$J$2:$J$72,"A fazer")</f>
        <v/>
      </c>
      <c r="D7" s="16">
        <f>COUNTIFS('Ilustrações'!$B$2:$B$72,$A7,'Ilustrações'!$J$2:$J$72,"Em andamento")</f>
        <v/>
      </c>
      <c r="E7" s="16">
        <f>COUNTIFS('Ilustrações'!$B$2:$B$72,$A7,'Ilustrações'!$J$2:$J$72,"Em revisão")</f>
        <v/>
      </c>
      <c r="F7" s="16">
        <f>COUNTIFS('Ilustrações'!$B$2:$B$72,$A7,'Ilustrações'!$J$2:$J$72,"Pronto")</f>
        <v/>
      </c>
      <c r="G7" s="17">
        <f>IF(B7=0,0,F7/B7)</f>
        <v/>
      </c>
    </row>
    <row r="8">
      <c r="A8" s="16" t="inlineStr">
        <is>
          <t>Cenários</t>
        </is>
      </c>
      <c r="B8" s="16">
        <f>COUNTIF('Ilustrações'!$B$2:$B$72,$A8)</f>
        <v/>
      </c>
      <c r="C8" s="16">
        <f>COUNTIFS('Ilustrações'!$B$2:$B$72,$A8,'Ilustrações'!$J$2:$J$72,"A fazer")</f>
        <v/>
      </c>
      <c r="D8" s="16">
        <f>COUNTIFS('Ilustrações'!$B$2:$B$72,$A8,'Ilustrações'!$J$2:$J$72,"Em andamento")</f>
        <v/>
      </c>
      <c r="E8" s="16">
        <f>COUNTIFS('Ilustrações'!$B$2:$B$72,$A8,'Ilustrações'!$J$2:$J$72,"Em revisão")</f>
        <v/>
      </c>
      <c r="F8" s="16">
        <f>COUNTIFS('Ilustrações'!$B$2:$B$72,$A8,'Ilustrações'!$J$2:$J$72,"Pronto")</f>
        <v/>
      </c>
      <c r="G8" s="17">
        <f>IF(B8=0,0,F8/B8)</f>
        <v/>
      </c>
    </row>
    <row r="9">
      <c r="A9" s="16" t="inlineStr">
        <is>
          <t>Objetos e itens</t>
        </is>
      </c>
      <c r="B9" s="16">
        <f>COUNTIF('Ilustrações'!$B$2:$B$72,$A9)</f>
        <v/>
      </c>
      <c r="C9" s="16">
        <f>COUNTIFS('Ilustrações'!$B$2:$B$72,$A9,'Ilustrações'!$J$2:$J$72,"A fazer")</f>
        <v/>
      </c>
      <c r="D9" s="16">
        <f>COUNTIFS('Ilustrações'!$B$2:$B$72,$A9,'Ilustrações'!$J$2:$J$72,"Em andamento")</f>
        <v/>
      </c>
      <c r="E9" s="16">
        <f>COUNTIFS('Ilustrações'!$B$2:$B$72,$A9,'Ilustrações'!$J$2:$J$72,"Em revisão")</f>
        <v/>
      </c>
      <c r="F9" s="16">
        <f>COUNTIFS('Ilustrações'!$B$2:$B$72,$A9,'Ilustrações'!$J$2:$J$72,"Pronto")</f>
        <v/>
      </c>
      <c r="G9" s="17">
        <f>IF(B9=0,0,F9/B9)</f>
        <v/>
      </c>
    </row>
    <row r="10">
      <c r="A10" s="16" t="inlineStr">
        <is>
          <t>Pistas (tela de leitura)</t>
        </is>
      </c>
      <c r="B10" s="16">
        <f>COUNTIF('Ilustrações'!$B$2:$B$72,$A10)</f>
        <v/>
      </c>
      <c r="C10" s="16">
        <f>COUNTIFS('Ilustrações'!$B$2:$B$72,$A10,'Ilustrações'!$J$2:$J$72,"A fazer")</f>
        <v/>
      </c>
      <c r="D10" s="16">
        <f>COUNTIFS('Ilustrações'!$B$2:$B$72,$A10,'Ilustrações'!$J$2:$J$72,"Em andamento")</f>
        <v/>
      </c>
      <c r="E10" s="16">
        <f>COUNTIFS('Ilustrações'!$B$2:$B$72,$A10,'Ilustrações'!$J$2:$J$72,"Em revisão")</f>
        <v/>
      </c>
      <c r="F10" s="16">
        <f>COUNTIFS('Ilustrações'!$B$2:$B$72,$A10,'Ilustrações'!$J$2:$J$72,"Pronto")</f>
        <v/>
      </c>
      <c r="G10" s="17">
        <f>IF(B10=0,0,F10/B10)</f>
        <v/>
      </c>
    </row>
    <row r="11">
      <c r="A11" s="16" t="inlineStr">
        <is>
          <t>Interface</t>
        </is>
      </c>
      <c r="B11" s="16">
        <f>COUNTIF('Ilustrações'!$B$2:$B$72,$A11)</f>
        <v/>
      </c>
      <c r="C11" s="16">
        <f>COUNTIFS('Ilustrações'!$B$2:$B$72,$A11,'Ilustrações'!$J$2:$J$72,"A fazer")</f>
        <v/>
      </c>
      <c r="D11" s="16">
        <f>COUNTIFS('Ilustrações'!$B$2:$B$72,$A11,'Ilustrações'!$J$2:$J$72,"Em andamento")</f>
        <v/>
      </c>
      <c r="E11" s="16">
        <f>COUNTIFS('Ilustrações'!$B$2:$B$72,$A11,'Ilustrações'!$J$2:$J$72,"Em revisão")</f>
        <v/>
      </c>
      <c r="F11" s="16">
        <f>COUNTIFS('Ilustrações'!$B$2:$B$72,$A11,'Ilustrações'!$J$2:$J$72,"Pronto")</f>
        <v/>
      </c>
      <c r="G11" s="17">
        <f>IF(B11=0,0,F11/B11)</f>
        <v/>
      </c>
    </row>
    <row r="12">
      <c r="A12" s="14" t="inlineStr">
        <is>
          <t>Total</t>
        </is>
      </c>
      <c r="B12" s="14">
        <f>SUM(B5:B11)</f>
        <v/>
      </c>
      <c r="C12" s="14">
        <f>SUM(C5:C11)</f>
        <v/>
      </c>
      <c r="D12" s="14">
        <f>SUM(D5:D11)</f>
        <v/>
      </c>
      <c r="E12" s="14">
        <f>SUM(E5:E11)</f>
        <v/>
      </c>
      <c r="F12" s="14">
        <f>SUM(F5:F11)</f>
        <v/>
      </c>
      <c r="G12" s="18">
        <f>IF(B12=0,0,F12/B12)</f>
        <v/>
      </c>
    </row>
    <row r="14">
      <c r="A14" s="14" t="inlineStr">
        <is>
          <t>Por prioridade</t>
        </is>
      </c>
      <c r="B14" s="15" t="inlineStr">
        <is>
          <t>Total</t>
        </is>
      </c>
      <c r="C14" s="15" t="inlineStr">
        <is>
          <t>Pronto</t>
        </is>
      </c>
      <c r="D14" s="15" t="inlineStr">
        <is>
          <t>Falta</t>
        </is>
      </c>
    </row>
    <row r="15">
      <c r="A15" s="16" t="inlineStr">
        <is>
          <t>1 – Demo (Arco 1)</t>
        </is>
      </c>
      <c r="B15" s="16">
        <f>COUNTIF('Ilustrações'!$H$2:$H$72,$A15)</f>
        <v/>
      </c>
      <c r="C15" s="16">
        <f>COUNTIFS('Ilustrações'!$H$2:$H$72,$A15,'Ilustrações'!$J$2:$J$72,"Pronto")</f>
        <v/>
      </c>
      <c r="D15" s="16">
        <f>B15-C15</f>
        <v/>
      </c>
    </row>
    <row r="16">
      <c r="A16" s="16" t="inlineStr">
        <is>
          <t>2 – Arco 2</t>
        </is>
      </c>
      <c r="B16" s="16">
        <f>COUNTIF('Ilustrações'!$H$2:$H$72,$A16)</f>
        <v/>
      </c>
      <c r="C16" s="16">
        <f>COUNTIFS('Ilustrações'!$H$2:$H$72,$A16,'Ilustrações'!$J$2:$J$72,"Pronto")</f>
        <v/>
      </c>
      <c r="D16" s="16">
        <f>B16-C16</f>
        <v/>
      </c>
    </row>
    <row r="17">
      <c r="A17" s="16" t="inlineStr">
        <is>
          <t>3 – Arco 3 / final</t>
        </is>
      </c>
      <c r="B17" s="16">
        <f>COUNTIF('Ilustrações'!$H$2:$H$72,$A17)</f>
        <v/>
      </c>
      <c r="C17" s="16">
        <f>COUNTIFS('Ilustrações'!$H$2:$H$72,$A17,'Ilustrações'!$J$2:$J$72,"Pronto")</f>
        <v/>
      </c>
      <c r="D17" s="16">
        <f>B17-C17</f>
        <v/>
      </c>
    </row>
    <row r="19">
      <c r="A19" s="14" t="inlineStr">
        <is>
          <t>Por situação atual</t>
        </is>
      </c>
      <c r="B19" s="15" t="inlineStr">
        <is>
          <t>Itens</t>
        </is>
      </c>
    </row>
    <row r="20">
      <c r="A20" s="16" t="inlineStr">
        <is>
          <t>Ilustração de IA — refazer</t>
        </is>
      </c>
      <c r="B20" s="16">
        <f>COUNTIF('Ilustrações'!$E$2:$E$72,$A20)</f>
        <v/>
      </c>
    </row>
    <row r="21">
      <c r="A21" s="16" t="inlineStr">
        <is>
          <t>Bloco provisório (cinza)</t>
        </is>
      </c>
      <c r="B21" s="16">
        <f>COUNTIF('Ilustrações'!$E$2:$E$72,$A21)</f>
        <v/>
      </c>
    </row>
    <row r="22">
      <c r="A22" s="16" t="inlineStr">
        <is>
          <t>Placeholder de cor</t>
        </is>
      </c>
      <c r="B22" s="16">
        <f>COUNTIF('Ilustrações'!$E$2:$E$72,$A22)</f>
        <v/>
      </c>
    </row>
    <row r="23">
      <c r="A23" s="16" t="inlineStr">
        <is>
          <t>Sem ilustração</t>
        </is>
      </c>
      <c r="B23" s="16">
        <f>COUNTIF('Ilustrações'!$E$2:$E$72,$A23)</f>
        <v/>
      </c>
    </row>
    <row r="24">
      <c r="A24" s="16" t="inlineStr">
        <is>
          <t>Arte humana parcial</t>
        </is>
      </c>
      <c r="B24" s="16">
        <f>COUNTIF('Ilustrações'!$E$2:$E$72,$A24)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2026-09-28T03:51:04Z</dcterms:created>
  <dcterms:modified xsi:type="dcterms:W3CDTF">2026-09-28T03:51:04Z</dcterms:modified>
</cp:coreProperties>
</file>